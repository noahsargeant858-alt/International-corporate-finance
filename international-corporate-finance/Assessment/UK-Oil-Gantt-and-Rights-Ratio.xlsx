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Rights Rat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<sst xmlns="http://schemas.openxmlformats.org/spreadsheetml/2006/main" count="88" uniqueCount="81">
  <si>
    <t xml:space="preserve">UK Oil Plc — Option 1 Gantt Chart (PERT)</t>
  </si>
  <si>
    <t xml:space="preserve">Expected time = (O + 4M + P) ÷ 6   ·   Red bar = critical path (no float)   ·   Blue bar = has float   ·   Months counted from the start of Activity A</t>
  </si>
  <si>
    <t xml:space="preserve">Blue numbers = durations from the Assessment Brief (change them and the chart redraws).</t>
  </si>
  <si>
    <t xml:space="preserve">Act</t>
  </si>
  <si>
    <t xml:space="preserve">Activity</t>
  </si>
  <si>
    <t xml:space="preserve">Depends on</t>
  </si>
  <si>
    <t xml:space="preserve">O</t>
  </si>
  <si>
    <t xml:space="preserve">M</t>
  </si>
  <si>
    <t xml:space="preserve">P</t>
  </si>
  <si>
    <t xml:space="preserve">Expected (months)</t>
  </si>
  <si>
    <t xml:space="preserve">Start month</t>
  </si>
  <si>
    <t xml:space="preserve">Finish month</t>
  </si>
  <si>
    <t xml:space="preserve">Latest start</t>
  </si>
  <si>
    <t xml:space="preserve">Latest finish</t>
  </si>
  <si>
    <t xml:space="preserve">Float (months)</t>
  </si>
  <si>
    <t xml:space="preserve">Critical?</t>
  </si>
  <si>
    <t xml:space="preserve">A</t>
  </si>
  <si>
    <t xml:space="preserve">Geological Study (already completed)</t>
  </si>
  <si>
    <t xml:space="preserve">—</t>
  </si>
  <si>
    <t xml:space="preserve">B</t>
  </si>
  <si>
    <t xml:space="preserve">Technical Evaluation</t>
  </si>
  <si>
    <t xml:space="preserve">C</t>
  </si>
  <si>
    <t xml:space="preserve">Financial Evaluation</t>
  </si>
  <si>
    <t xml:space="preserve">D</t>
  </si>
  <si>
    <t xml:space="preserve">Board Consideration</t>
  </si>
  <si>
    <t xml:space="preserve">B &amp; C</t>
  </si>
  <si>
    <t xml:space="preserve">E</t>
  </si>
  <si>
    <t xml:space="preserve">Bidding Process</t>
  </si>
  <si>
    <t xml:space="preserve">F</t>
  </si>
  <si>
    <t xml:space="preserve">Safety Report</t>
  </si>
  <si>
    <t xml:space="preserve">G</t>
  </si>
  <si>
    <t xml:space="preserve">Hire &amp; Training of Labour</t>
  </si>
  <si>
    <t xml:space="preserve">H</t>
  </si>
  <si>
    <t xml:space="preserve">Site Preparation</t>
  </si>
  <si>
    <t xml:space="preserve">F &amp; G</t>
  </si>
  <si>
    <t xml:space="preserve">I</t>
  </si>
  <si>
    <t xml:space="preserve">Delivery of Material</t>
  </si>
  <si>
    <t xml:space="preserve">J</t>
  </si>
  <si>
    <t xml:space="preserve">Delivery &amp; Construction of the Oil Platform</t>
  </si>
  <si>
    <t xml:space="preserve">F &amp; H</t>
  </si>
  <si>
    <t xml:space="preserve">K</t>
  </si>
  <si>
    <t xml:space="preserve">Pre-Sale Drilling &amp; Production</t>
  </si>
  <si>
    <t xml:space="preserve">I &amp; J</t>
  </si>
  <si>
    <t xml:space="preserve">L</t>
  </si>
  <si>
    <t xml:space="preserve">Sales (ongoing for 25 years)</t>
  </si>
  <si>
    <t xml:space="preserve">Months until first oil (Activity L starts)</t>
  </si>
  <si>
    <t xml:space="preserve">…of which still to go after the completed Activity A</t>
  </si>
  <si>
    <t xml:space="preserve">Critical path</t>
  </si>
  <si>
    <t xml:space="preserve">Activity F (Safety Report) float</t>
  </si>
  <si>
    <t xml:space="preserve">Activity F has no float, so the brief's warning about a shortage of safety engineers is a direct risk to the start date. C, G and I can slip by their float without delaying first oil.</t>
  </si>
  <si>
    <t xml:space="preserve">UK Oil Plc — Rights Issue to raise £300,000,000</t>
  </si>
  <si>
    <t xml:space="preserve">Week 3 slide formulas. Change the yellow cells and everything updates.</t>
  </si>
  <si>
    <t xml:space="preserve">The numbers (Assessment Brief)</t>
  </si>
  <si>
    <t xml:space="preserve">Amount to raise (£)</t>
  </si>
  <si>
    <t xml:space="preserve">Your target.</t>
  </si>
  <si>
    <t xml:space="preserve">Existing £1 ordinary shares</t>
  </si>
  <si>
    <t xml:space="preserve">Brief: £1,000M of £1 shares.</t>
  </si>
  <si>
    <t xml:space="preserve">Market price per share (£)</t>
  </si>
  <si>
    <t xml:space="preserve">Brief.</t>
  </si>
  <si>
    <t xml:space="preserve">Nominal value per share (£)</t>
  </si>
  <si>
    <t xml:space="preserve">Brief: £1 shares.</t>
  </si>
  <si>
    <t xml:space="preserve">Rights ratio: 1 new share for every N held. N =</t>
  </si>
  <si>
    <t xml:space="preserve">Pick the ratio.</t>
  </si>
  <si>
    <t xml:space="preserve">Issue price per new share (£)</t>
  </si>
  <si>
    <t xml:space="preserve">Bank says £1.00–£1.25 will succeed.</t>
  </si>
  <si>
    <t xml:space="preserve">Bank fees (£)</t>
  </si>
  <si>
    <t xml:space="preserve">Brief: £5M whatever the size.</t>
  </si>
  <si>
    <t xml:space="preserve">The answers (Week 3 slides 28–34)</t>
  </si>
  <si>
    <t xml:space="preserve">New shares issued</t>
  </si>
  <si>
    <t xml:space="preserve">Cash raised (£)</t>
  </si>
  <si>
    <t xml:space="preserve">Raises the £300M?</t>
  </si>
  <si>
    <t xml:space="preserve">Value of the right (£)</t>
  </si>
  <si>
    <t xml:space="preserve">Over the brief's £1.00 minimum?</t>
  </si>
  <si>
    <t xml:space="preserve">Share premium (£)</t>
  </si>
  <si>
    <t xml:space="preserve">TERP — share price after the issue (£)</t>
  </si>
  <si>
    <t xml:space="preserve">Cash left after bank fees (£)</t>
  </si>
  <si>
    <t xml:space="preserve">Which ratio works? (price needed to raise exactly £300M)</t>
  </si>
  <si>
    <t xml:space="preserve">Rights ratio</t>
  </si>
  <si>
    <t xml:space="preserve">Issue price needed</t>
  </si>
  <si>
    <t xml:space="preserve">Inside £1.00–£1.25?</t>
  </si>
  <si>
    <t xml:space="preserve">Only 1-for-4 (at £1.20) is inside the bank's range.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</si>
</sst>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;\-0.0;\-"/>
    <numFmt numFmtId="168" formatCode="\£#,##0;&quot;(£&quot;#,##0\);\-"/>
    <numFmt numFmtId="169" formatCode="#,##0"/>
    <numFmt numFmtId="170" formatCode="\£#,##0.00;&quot;(£&quot;#,##0.00\);\-"/>
    <numFmt numFmtId="171" formatCode="&quot;1 for &quot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00000"/>
        </patternFill>
      </fill>
    </dxf>
    <dxf>
      <fill>
        <patternFill>
          <bgColor rgb="FF4F81BD"/>
        </patternFill>
      </fill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b val="1"/>
        <color rgb="FF008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N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6" min="4" style="0" width="5"/>
    <col collapsed="false" customWidth="true" hidden="false" outlineLevel="0" max="7" min="7" style="0" width="10"/>
    <col collapsed="false" customWidth="true" hidden="false" outlineLevel="0" max="12" min="8" style="0" width="8"/>
    <col collapsed="false" customWidth="true" hidden="false" outlineLevel="0" max="13" min="13" style="0" width="9"/>
    <col collapsed="false" customWidth="true" hidden="false" outlineLevel="0" max="55" min="14" style="0" width="3.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5" t="n">
        <v>1</v>
      </c>
      <c r="O5" s="5" t="n">
        <v>2</v>
      </c>
      <c r="P5" s="5" t="n">
        <v>3</v>
      </c>
      <c r="Q5" s="5" t="n">
        <v>4</v>
      </c>
      <c r="R5" s="5" t="n">
        <v>5</v>
      </c>
      <c r="S5" s="5" t="n">
        <v>6</v>
      </c>
      <c r="T5" s="5" t="n">
        <v>7</v>
      </c>
      <c r="U5" s="5" t="n">
        <v>8</v>
      </c>
      <c r="V5" s="5" t="n">
        <v>9</v>
      </c>
      <c r="W5" s="5" t="n">
        <v>10</v>
      </c>
      <c r="X5" s="5" t="n">
        <v>11</v>
      </c>
      <c r="Y5" s="5" t="n">
        <v>12</v>
      </c>
      <c r="Z5" s="5" t="n">
        <v>13</v>
      </c>
      <c r="AA5" s="5" t="n">
        <v>14</v>
      </c>
      <c r="AB5" s="5" t="n">
        <v>15</v>
      </c>
      <c r="AC5" s="5" t="n">
        <v>16</v>
      </c>
      <c r="AD5" s="5" t="n">
        <v>17</v>
      </c>
      <c r="AE5" s="5" t="n">
        <v>18</v>
      </c>
      <c r="AF5" s="5" t="n">
        <v>19</v>
      </c>
      <c r="AG5" s="5" t="n">
        <v>20</v>
      </c>
      <c r="AH5" s="5" t="n">
        <v>21</v>
      </c>
      <c r="AI5" s="5" t="n">
        <v>22</v>
      </c>
      <c r="AJ5" s="5" t="n">
        <v>23</v>
      </c>
      <c r="AK5" s="5" t="n">
        <v>24</v>
      </c>
      <c r="AL5" s="5" t="n">
        <v>25</v>
      </c>
      <c r="AM5" s="5" t="n">
        <v>26</v>
      </c>
      <c r="AN5" s="5" t="n">
        <v>27</v>
      </c>
      <c r="AO5" s="5" t="n">
        <v>28</v>
      </c>
      <c r="AP5" s="5" t="n">
        <v>29</v>
      </c>
      <c r="AQ5" s="5" t="n">
        <v>30</v>
      </c>
      <c r="AR5" s="5" t="n">
        <v>31</v>
      </c>
      <c r="AS5" s="5" t="n">
        <v>32</v>
      </c>
      <c r="AT5" s="5" t="n">
        <v>33</v>
      </c>
      <c r="AU5" s="5" t="n">
        <v>34</v>
      </c>
      <c r="AV5" s="5" t="n">
        <v>35</v>
      </c>
      <c r="AW5" s="5" t="n">
        <v>36</v>
      </c>
      <c r="AX5" s="5" t="n">
        <v>37</v>
      </c>
      <c r="AY5" s="5" t="n">
        <v>38</v>
      </c>
      <c r="AZ5" s="5" t="n">
        <v>39</v>
      </c>
      <c r="BA5" s="5" t="n">
        <v>40</v>
      </c>
      <c r="BB5" s="5" t="n">
        <v>41</v>
      </c>
      <c r="BC5" s="5" t="n">
        <v>42</v>
      </c>
    </row>
    <row r="6" customFormat="false" ht="18" hidden="false" customHeight="true" outlineLevel="0" collapsed="false">
      <c r="A6" s="6" t="s">
        <v>16</v>
      </c>
      <c r="B6" s="7" t="s">
        <v>17</v>
      </c>
      <c r="C6" s="8" t="s">
        <v>18</v>
      </c>
      <c r="D6" s="9" t="n">
        <v>12</v>
      </c>
      <c r="G6" s="10" t="n">
        <f aca="false">IF(E6="",D6,(D6+4*E6+F6)/6)</f>
        <v>12</v>
      </c>
      <c r="H6" s="11" t="n">
        <v>0</v>
      </c>
      <c r="I6" s="12" t="n">
        <f aca="false">H6+G6</f>
        <v>12</v>
      </c>
      <c r="J6" s="12" t="n">
        <f aca="false">K6-G6</f>
        <v>0</v>
      </c>
      <c r="K6" s="12" t="n">
        <f aca="false">MIN(J7,J8)</f>
        <v>12</v>
      </c>
      <c r="L6" s="12" t="n">
        <f aca="false">J6-H6</f>
        <v>0</v>
      </c>
      <c r="M6" s="8" t="str">
        <f aca="false">IF(L6&lt;0.001,"YES","no")</f>
        <v>YES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</row>
    <row r="7" customFormat="false" ht="18" hidden="false" customHeight="true" outlineLevel="0" collapsed="false">
      <c r="A7" s="6" t="s">
        <v>19</v>
      </c>
      <c r="B7" s="7" t="s">
        <v>20</v>
      </c>
      <c r="C7" s="8" t="s">
        <v>16</v>
      </c>
      <c r="D7" s="9" t="n">
        <v>2</v>
      </c>
      <c r="E7" s="9" t="n">
        <v>4</v>
      </c>
      <c r="F7" s="9" t="n">
        <v>10</v>
      </c>
      <c r="G7" s="10" t="n">
        <f aca="false">IF(E7="",D7,(D7+4*E7+F7)/6)</f>
        <v>4.66666666666667</v>
      </c>
      <c r="H7" s="12" t="n">
        <f aca="false">I6</f>
        <v>12</v>
      </c>
      <c r="I7" s="12" t="n">
        <f aca="false">H7+G7</f>
        <v>16.6666666666667</v>
      </c>
      <c r="J7" s="12" t="n">
        <f aca="false">K7-G7</f>
        <v>12</v>
      </c>
      <c r="K7" s="12" t="n">
        <f aca="false">J9</f>
        <v>16.6666666666667</v>
      </c>
      <c r="L7" s="12" t="n">
        <f aca="false">J7-H7</f>
        <v>0</v>
      </c>
      <c r="M7" s="8" t="str">
        <f aca="false">IF(L7&lt;0.001,"YES","no")</f>
        <v>YES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</row>
    <row r="8" customFormat="false" ht="18" hidden="false" customHeight="true" outlineLevel="0" collapsed="false">
      <c r="A8" s="6" t="s">
        <v>21</v>
      </c>
      <c r="B8" s="7" t="s">
        <v>22</v>
      </c>
      <c r="C8" s="8" t="s">
        <v>16</v>
      </c>
      <c r="D8" s="9" t="n">
        <v>3</v>
      </c>
      <c r="G8" s="10" t="n">
        <f aca="false">IF(E8="",D8,(D8+4*E8+F8)/6)</f>
        <v>3</v>
      </c>
      <c r="H8" s="12" t="n">
        <f aca="false">I6</f>
        <v>12</v>
      </c>
      <c r="I8" s="12" t="n">
        <f aca="false">H8+G8</f>
        <v>15</v>
      </c>
      <c r="J8" s="12" t="n">
        <f aca="false">K8-G8</f>
        <v>13.6666666666667</v>
      </c>
      <c r="K8" s="12" t="n">
        <f aca="false">J9</f>
        <v>16.6666666666667</v>
      </c>
      <c r="L8" s="12" t="n">
        <f aca="false">J8-H8</f>
        <v>1.66666666666667</v>
      </c>
      <c r="M8" s="8" t="str">
        <f aca="false">IF(L8&lt;0.001,"YES","no")</f>
        <v>no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</row>
    <row r="9" customFormat="false" ht="18" hidden="false" customHeight="true" outlineLevel="0" collapsed="false">
      <c r="A9" s="6" t="s">
        <v>23</v>
      </c>
      <c r="B9" s="7" t="s">
        <v>24</v>
      </c>
      <c r="C9" s="8" t="s">
        <v>25</v>
      </c>
      <c r="D9" s="9" t="n">
        <v>1</v>
      </c>
      <c r="E9" s="9" t="n">
        <v>2</v>
      </c>
      <c r="F9" s="9" t="n">
        <v>3</v>
      </c>
      <c r="G9" s="10" t="n">
        <f aca="false">IF(E9="",D9,(D9+4*E9+F9)/6)</f>
        <v>2</v>
      </c>
      <c r="H9" s="12" t="n">
        <f aca="false">MAX(I7,I8)</f>
        <v>16.6666666666667</v>
      </c>
      <c r="I9" s="12" t="n">
        <f aca="false">H9+G9</f>
        <v>18.6666666666667</v>
      </c>
      <c r="J9" s="12" t="n">
        <f aca="false">K9-G9</f>
        <v>16.6666666666667</v>
      </c>
      <c r="K9" s="12" t="n">
        <f aca="false">J10</f>
        <v>18.6666666666667</v>
      </c>
      <c r="L9" s="12" t="n">
        <f aca="false">J9-H9</f>
        <v>0</v>
      </c>
      <c r="M9" s="8" t="str">
        <f aca="false">IF(L9&lt;0.001,"YES","no")</f>
        <v>YES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</row>
    <row r="10" customFormat="false" ht="18" hidden="false" customHeight="true" outlineLevel="0" collapsed="false">
      <c r="A10" s="6" t="s">
        <v>26</v>
      </c>
      <c r="B10" s="7" t="s">
        <v>27</v>
      </c>
      <c r="C10" s="8" t="s">
        <v>23</v>
      </c>
      <c r="D10" s="9" t="n">
        <v>1</v>
      </c>
      <c r="E10" s="9" t="n">
        <v>2</v>
      </c>
      <c r="F10" s="9" t="n">
        <v>8</v>
      </c>
      <c r="G10" s="10" t="n">
        <f aca="false">IF(E10="",D10,(D10+4*E10+F10)/6)</f>
        <v>2.83333333333333</v>
      </c>
      <c r="H10" s="12" t="n">
        <f aca="false">I9</f>
        <v>18.6666666666667</v>
      </c>
      <c r="I10" s="12" t="n">
        <f aca="false">H10+G10</f>
        <v>21.5</v>
      </c>
      <c r="J10" s="12" t="n">
        <f aca="false">K10-G10</f>
        <v>18.6666666666667</v>
      </c>
      <c r="K10" s="12" t="n">
        <f aca="false">MIN(J11,J12)</f>
        <v>21.5</v>
      </c>
      <c r="L10" s="12" t="n">
        <f aca="false">J10-H10</f>
        <v>0</v>
      </c>
      <c r="M10" s="8" t="str">
        <f aca="false">IF(L10&lt;0.001,"YES","no")</f>
        <v>YES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customFormat="false" ht="18" hidden="false" customHeight="true" outlineLevel="0" collapsed="false">
      <c r="A11" s="6" t="s">
        <v>28</v>
      </c>
      <c r="B11" s="7" t="s">
        <v>29</v>
      </c>
      <c r="C11" s="8" t="s">
        <v>26</v>
      </c>
      <c r="D11" s="9" t="n">
        <v>1</v>
      </c>
      <c r="E11" s="9" t="n">
        <v>4</v>
      </c>
      <c r="F11" s="9" t="n">
        <v>7</v>
      </c>
      <c r="G11" s="10" t="n">
        <f aca="false">IF(E11="",D11,(D11+4*E11+F11)/6)</f>
        <v>4</v>
      </c>
      <c r="H11" s="12" t="n">
        <f aca="false">I10</f>
        <v>21.5</v>
      </c>
      <c r="I11" s="12" t="n">
        <f aca="false">H11+G11</f>
        <v>25.5</v>
      </c>
      <c r="J11" s="12" t="n">
        <f aca="false">K11-G11</f>
        <v>21.5</v>
      </c>
      <c r="K11" s="12" t="n">
        <f aca="false">MIN(J13,J15)</f>
        <v>25.5</v>
      </c>
      <c r="L11" s="12" t="n">
        <f aca="false">J11-H11</f>
        <v>0</v>
      </c>
      <c r="M11" s="8" t="str">
        <f aca="false">IF(L11&lt;0.001,"YES","no")</f>
        <v>YES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</row>
    <row r="12" customFormat="false" ht="18" hidden="false" customHeight="true" outlineLevel="0" collapsed="false">
      <c r="A12" s="6" t="s">
        <v>30</v>
      </c>
      <c r="B12" s="7" t="s">
        <v>31</v>
      </c>
      <c r="C12" s="8" t="s">
        <v>26</v>
      </c>
      <c r="D12" s="9" t="n">
        <v>1</v>
      </c>
      <c r="E12" s="9" t="n">
        <v>2</v>
      </c>
      <c r="F12" s="9" t="n">
        <v>3</v>
      </c>
      <c r="G12" s="10" t="n">
        <f aca="false">IF(E12="",D12,(D12+4*E12+F12)/6)</f>
        <v>2</v>
      </c>
      <c r="H12" s="12" t="n">
        <f aca="false">I10</f>
        <v>21.5</v>
      </c>
      <c r="I12" s="12" t="n">
        <f aca="false">H12+G12</f>
        <v>23.5</v>
      </c>
      <c r="J12" s="12" t="n">
        <f aca="false">K12-G12</f>
        <v>23.5</v>
      </c>
      <c r="K12" s="12" t="n">
        <f aca="false">J13</f>
        <v>25.5</v>
      </c>
      <c r="L12" s="12" t="n">
        <f aca="false">J12-H12</f>
        <v>2</v>
      </c>
      <c r="M12" s="8" t="str">
        <f aca="false">IF(L12&lt;0.001,"YES","no")</f>
        <v>no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</row>
    <row r="13" customFormat="false" ht="18" hidden="false" customHeight="true" outlineLevel="0" collapsed="false">
      <c r="A13" s="6" t="s">
        <v>32</v>
      </c>
      <c r="B13" s="7" t="s">
        <v>33</v>
      </c>
      <c r="C13" s="8" t="s">
        <v>34</v>
      </c>
      <c r="D13" s="9" t="n">
        <v>3</v>
      </c>
      <c r="E13" s="9" t="n">
        <v>5</v>
      </c>
      <c r="F13" s="9" t="n">
        <v>10</v>
      </c>
      <c r="G13" s="10" t="n">
        <f aca="false">IF(E13="",D13,(D13+4*E13+F13)/6)</f>
        <v>5.5</v>
      </c>
      <c r="H13" s="12" t="n">
        <f aca="false">MAX(I11,I12)</f>
        <v>25.5</v>
      </c>
      <c r="I13" s="12" t="n">
        <f aca="false">H13+G13</f>
        <v>31</v>
      </c>
      <c r="J13" s="12" t="n">
        <f aca="false">K13-G13</f>
        <v>25.5</v>
      </c>
      <c r="K13" s="12" t="n">
        <f aca="false">MIN(J14,J15)</f>
        <v>31</v>
      </c>
      <c r="L13" s="12" t="n">
        <f aca="false">J13-H13</f>
        <v>0</v>
      </c>
      <c r="M13" s="8" t="str">
        <f aca="false">IF(L13&lt;0.001,"YES","no")</f>
        <v>YES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</row>
    <row r="14" customFormat="false" ht="18" hidden="false" customHeight="true" outlineLevel="0" collapsed="false">
      <c r="A14" s="6" t="s">
        <v>35</v>
      </c>
      <c r="B14" s="7" t="s">
        <v>36</v>
      </c>
      <c r="C14" s="8" t="s">
        <v>32</v>
      </c>
      <c r="D14" s="9" t="n">
        <v>1</v>
      </c>
      <c r="E14" s="9" t="n">
        <v>2</v>
      </c>
      <c r="F14" s="9" t="n">
        <v>3</v>
      </c>
      <c r="G14" s="10" t="n">
        <f aca="false">IF(E14="",D14,(D14+4*E14+F14)/6)</f>
        <v>2</v>
      </c>
      <c r="H14" s="12" t="n">
        <f aca="false">I13</f>
        <v>31</v>
      </c>
      <c r="I14" s="12" t="n">
        <f aca="false">H14+G14</f>
        <v>33</v>
      </c>
      <c r="J14" s="12" t="n">
        <f aca="false">K14-G14</f>
        <v>33</v>
      </c>
      <c r="K14" s="12" t="n">
        <f aca="false">J16</f>
        <v>35</v>
      </c>
      <c r="L14" s="12" t="n">
        <f aca="false">J14-H14</f>
        <v>2</v>
      </c>
      <c r="M14" s="8" t="str">
        <f aca="false">IF(L14&lt;0.001,"YES","no")</f>
        <v>no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</row>
    <row r="15" customFormat="false" ht="18" hidden="false" customHeight="true" outlineLevel="0" collapsed="false">
      <c r="A15" s="6" t="s">
        <v>37</v>
      </c>
      <c r="B15" s="7" t="s">
        <v>38</v>
      </c>
      <c r="C15" s="8" t="s">
        <v>39</v>
      </c>
      <c r="D15" s="9" t="n">
        <v>2</v>
      </c>
      <c r="E15" s="9" t="n">
        <v>4</v>
      </c>
      <c r="F15" s="9" t="n">
        <v>6</v>
      </c>
      <c r="G15" s="10" t="n">
        <f aca="false">IF(E15="",D15,(D15+4*E15+F15)/6)</f>
        <v>4</v>
      </c>
      <c r="H15" s="12" t="n">
        <f aca="false">MAX(I11,I13)</f>
        <v>31</v>
      </c>
      <c r="I15" s="12" t="n">
        <f aca="false">H15+G15</f>
        <v>35</v>
      </c>
      <c r="J15" s="12" t="n">
        <f aca="false">K15-G15</f>
        <v>31</v>
      </c>
      <c r="K15" s="12" t="n">
        <f aca="false">J16</f>
        <v>35</v>
      </c>
      <c r="L15" s="12" t="n">
        <f aca="false">J15-H15</f>
        <v>0</v>
      </c>
      <c r="M15" s="8" t="str">
        <f aca="false">IF(L15&lt;0.001,"YES","no")</f>
        <v>YES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</row>
    <row r="16" customFormat="false" ht="18" hidden="false" customHeight="true" outlineLevel="0" collapsed="false">
      <c r="A16" s="6" t="s">
        <v>40</v>
      </c>
      <c r="B16" s="7" t="s">
        <v>41</v>
      </c>
      <c r="C16" s="8" t="s">
        <v>42</v>
      </c>
      <c r="D16" s="9" t="n">
        <v>1</v>
      </c>
      <c r="E16" s="9" t="n">
        <v>3</v>
      </c>
      <c r="F16" s="9" t="n">
        <v>8</v>
      </c>
      <c r="G16" s="10" t="n">
        <f aca="false">IF(E16="",D16,(D16+4*E16+F16)/6)</f>
        <v>3.5</v>
      </c>
      <c r="H16" s="12" t="n">
        <f aca="false">MAX(I14,I15)</f>
        <v>35</v>
      </c>
      <c r="I16" s="12" t="n">
        <f aca="false">H16+G16</f>
        <v>38.5</v>
      </c>
      <c r="J16" s="12" t="n">
        <f aca="false">K16-G16</f>
        <v>35</v>
      </c>
      <c r="K16" s="12" t="n">
        <f aca="false">J17</f>
        <v>38.5</v>
      </c>
      <c r="L16" s="12" t="n">
        <f aca="false">J16-H16</f>
        <v>0</v>
      </c>
      <c r="M16" s="8" t="str">
        <f aca="false">IF(L16&lt;0.001,"YES","no")</f>
        <v>YES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</row>
    <row r="17" customFormat="false" ht="18" hidden="false" customHeight="true" outlineLevel="0" collapsed="false">
      <c r="A17" s="6" t="s">
        <v>43</v>
      </c>
      <c r="B17" s="7" t="s">
        <v>44</v>
      </c>
      <c r="C17" s="8" t="s">
        <v>40</v>
      </c>
      <c r="G17" s="9" t="n">
        <v>300</v>
      </c>
      <c r="H17" s="12" t="n">
        <f aca="false">I16</f>
        <v>38.5</v>
      </c>
      <c r="I17" s="12" t="n">
        <f aca="false">H17+G17</f>
        <v>338.5</v>
      </c>
      <c r="J17" s="12" t="n">
        <f aca="false">K17-G17</f>
        <v>38.5</v>
      </c>
      <c r="K17" s="12" t="n">
        <f aca="false">I17</f>
        <v>338.5</v>
      </c>
      <c r="L17" s="12" t="n">
        <f aca="false">J17-H17</f>
        <v>0</v>
      </c>
      <c r="M17" s="8" t="str">
        <f aca="false">IF(L17&lt;0.001,"YES","no")</f>
        <v>YES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</row>
    <row r="19" customFormat="false" ht="15" hidden="false" customHeight="false" outlineLevel="0" collapsed="false">
      <c r="A19" s="14" t="s">
        <v>45</v>
      </c>
      <c r="G19" s="15" t="n">
        <f aca="false">H17</f>
        <v>38.5</v>
      </c>
    </row>
    <row r="20" customFormat="false" ht="15" hidden="false" customHeight="false" outlineLevel="0" collapsed="false">
      <c r="A20" s="14" t="s">
        <v>46</v>
      </c>
      <c r="G20" s="15" t="n">
        <f aca="false">H17-I6</f>
        <v>26.5</v>
      </c>
    </row>
    <row r="21" customFormat="false" ht="15" hidden="false" customHeight="false" outlineLevel="0" collapsed="false">
      <c r="A21" s="14" t="s">
        <v>47</v>
      </c>
      <c r="G21" s="16" t="str">
        <f aca="false">MID(IF(M6="YES","-"&amp;A6,"")&amp;IF(M7="YES","-"&amp;A7,"")&amp;IF(M8="YES","-"&amp;A8,"")&amp;IF(M9="YES","-"&amp;A9,"")&amp;IF(M10="YES","-"&amp;A10,"")&amp;IF(M11="YES","-"&amp;A11,"")&amp;IF(M12="YES","-"&amp;A12,"")&amp;IF(M13="YES","-"&amp;A13,"")&amp;IF(M14="YES","-"&amp;A14,"")&amp;IF(M15="YES","-"&amp;A15,"")&amp;IF(M16="YES","-"&amp;A16,"")&amp;IF(M17="YES","-"&amp;A17,""),2,100)</f>
        <v>A-B-D-E-F-H-J-K-L</v>
      </c>
    </row>
    <row r="22" customFormat="false" ht="15" hidden="false" customHeight="false" outlineLevel="0" collapsed="false">
      <c r="A22" s="14" t="s">
        <v>48</v>
      </c>
      <c r="G22" s="15" t="n">
        <f aca="false">L11</f>
        <v>0</v>
      </c>
    </row>
    <row r="24" customFormat="false" ht="15" hidden="false" customHeight="false" outlineLevel="0" collapsed="false">
      <c r="A24" s="17" t="s">
        <v>49</v>
      </c>
    </row>
  </sheetData>
  <conditionalFormatting sqref="N6:BC17">
    <cfRule type="expression" priority="2" aboveAverage="0" equalAverage="0" bottom="0" percent="0" rank="0" text="" dxfId="0">
      <formula>AND($M6="YES",AND(N$5&gt;$H6,N$5-1&lt;$I6))</formula>
    </cfRule>
    <cfRule type="expression" priority="3" aboveAverage="0" equalAverage="0" bottom="0" percent="0" rank="0" text="" dxfId="1">
      <formula>AND(N$5&gt;$H6,N$5-1&lt;$I6)</formula>
    </cfRule>
  </conditionalFormatting>
  <conditionalFormatting sqref="M6:M17">
    <cfRule type="cellIs" priority="4" operator="equal" aboveAverage="0" equalAverage="0" bottom="0" percent="0" rank="0" text="" dxfId="2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8" t="s">
        <v>52</v>
      </c>
      <c r="B4" s="19"/>
      <c r="C4" s="19"/>
    </row>
    <row r="5" customFormat="false" ht="15" hidden="false" customHeight="false" outlineLevel="0" collapsed="false">
      <c r="A5" s="7" t="s">
        <v>53</v>
      </c>
      <c r="B5" s="20" t="n">
        <v>300000000</v>
      </c>
      <c r="C5" s="17" t="s">
        <v>54</v>
      </c>
    </row>
    <row r="6" customFormat="false" ht="15" hidden="false" customHeight="false" outlineLevel="0" collapsed="false">
      <c r="A6" s="7" t="s">
        <v>55</v>
      </c>
      <c r="B6" s="21" t="n">
        <v>1000000000</v>
      </c>
      <c r="C6" s="17" t="s">
        <v>56</v>
      </c>
    </row>
    <row r="7" customFormat="false" ht="15" hidden="false" customHeight="false" outlineLevel="0" collapsed="false">
      <c r="A7" s="7" t="s">
        <v>57</v>
      </c>
      <c r="B7" s="22" t="n">
        <v>3.5</v>
      </c>
      <c r="C7" s="17" t="s">
        <v>58</v>
      </c>
    </row>
    <row r="8" customFormat="false" ht="15" hidden="false" customHeight="false" outlineLevel="0" collapsed="false">
      <c r="A8" s="7" t="s">
        <v>59</v>
      </c>
      <c r="B8" s="22" t="n">
        <v>1</v>
      </c>
      <c r="C8" s="17" t="s">
        <v>60</v>
      </c>
    </row>
    <row r="9" customFormat="false" ht="15" hidden="false" customHeight="false" outlineLevel="0" collapsed="false">
      <c r="A9" s="7" t="s">
        <v>61</v>
      </c>
      <c r="B9" s="23" t="n">
        <v>4</v>
      </c>
      <c r="C9" s="17" t="s">
        <v>62</v>
      </c>
    </row>
    <row r="10" customFormat="false" ht="15" hidden="false" customHeight="false" outlineLevel="0" collapsed="false">
      <c r="A10" s="7" t="s">
        <v>63</v>
      </c>
      <c r="B10" s="24" t="n">
        <v>1.2</v>
      </c>
      <c r="C10" s="17" t="s">
        <v>64</v>
      </c>
    </row>
    <row r="11" customFormat="false" ht="15" hidden="false" customHeight="false" outlineLevel="0" collapsed="false">
      <c r="A11" s="7" t="s">
        <v>65</v>
      </c>
      <c r="B11" s="25" t="n">
        <v>5000000</v>
      </c>
      <c r="C11" s="17" t="s">
        <v>66</v>
      </c>
    </row>
    <row r="13" customFormat="false" ht="15" hidden="false" customHeight="false" outlineLevel="0" collapsed="false">
      <c r="A13" s="18" t="s">
        <v>67</v>
      </c>
      <c r="B13" s="19"/>
      <c r="C13" s="19"/>
    </row>
    <row r="14" customFormat="false" ht="15" hidden="false" customHeight="false" outlineLevel="0" collapsed="false">
      <c r="A14" s="7" t="s">
        <v>68</v>
      </c>
      <c r="B14" s="26" t="n">
        <f aca="false">B6/B9</f>
        <v>250000000</v>
      </c>
      <c r="C14" s="17" t="str">
        <f aca="false">TEXT(B6,"#,##0")&amp;" ÷ "&amp;B9</f>
        <v>1,000,000,000 ÷ 4</v>
      </c>
    </row>
    <row r="15" customFormat="false" ht="15" hidden="false" customHeight="false" outlineLevel="0" collapsed="false">
      <c r="A15" s="14" t="s">
        <v>69</v>
      </c>
      <c r="B15" s="27" t="n">
        <f aca="false">B14*B10</f>
        <v>300000000</v>
      </c>
      <c r="C15" s="17" t="str">
        <f aca="false">TEXT(B14,"#,##0")&amp;" × £"&amp;TEXT(B10,"0.00")</f>
        <v>250,000,000 × £1.20</v>
      </c>
    </row>
    <row r="16" customFormat="false" ht="15" hidden="false" customHeight="false" outlineLevel="0" collapsed="false">
      <c r="A16" s="7" t="s">
        <v>70</v>
      </c>
      <c r="B16" s="28" t="str">
        <f aca="false">IF(B15&gt;=B5,"YES","NO")</f>
        <v>YES</v>
      </c>
    </row>
    <row r="17" customFormat="false" ht="15" hidden="false" customHeight="false" outlineLevel="0" collapsed="false">
      <c r="A17" s="14" t="s">
        <v>71</v>
      </c>
      <c r="B17" s="29" t="n">
        <f aca="false">B7-B10</f>
        <v>2.3</v>
      </c>
      <c r="C17" s="17" t="str">
        <f aca="false">"£"&amp;TEXT(B7,"0.00")&amp;" − £"&amp;TEXT(B10,"0.00")</f>
        <v>£3.50 − £1.20</v>
      </c>
    </row>
    <row r="18" customFormat="false" ht="15" hidden="false" customHeight="false" outlineLevel="0" collapsed="false">
      <c r="A18" s="7" t="s">
        <v>72</v>
      </c>
      <c r="B18" s="28" t="str">
        <f aca="false">IF(B17&gt;1,"YES","NO")</f>
        <v>YES</v>
      </c>
    </row>
    <row r="19" customFormat="false" ht="15" hidden="false" customHeight="false" outlineLevel="0" collapsed="false">
      <c r="A19" s="7" t="s">
        <v>73</v>
      </c>
      <c r="B19" s="30" t="n">
        <f aca="false">B14*(B10-B8)</f>
        <v>50000000</v>
      </c>
      <c r="C19" s="17" t="str">
        <f aca="false">"(£"&amp;TEXT(B10,"0.00")&amp;" − £"&amp;TEXT(B8,"0.00")&amp;") × "&amp;TEXT(B14,"#,##0")</f>
        <v>(£1.20 − £1.00) × 250,000,000</v>
      </c>
    </row>
    <row r="20" customFormat="false" ht="15" hidden="false" customHeight="false" outlineLevel="0" collapsed="false">
      <c r="A20" s="14" t="s">
        <v>74</v>
      </c>
      <c r="B20" s="29" t="n">
        <f aca="false">(B9*B7+B10)/(B9+1)</f>
        <v>3.04</v>
      </c>
      <c r="C20" s="17" t="str">
        <f aca="false">"("&amp;B9&amp;" × £"&amp;TEXT(B7,"0.00")&amp;" + £"&amp;TEXT(B10,"0.00")&amp;") ÷ "&amp;(B9+1)</f>
        <v>(4 × £3.50 + £1.20) ÷ 5</v>
      </c>
    </row>
    <row r="21" customFormat="false" ht="15" hidden="false" customHeight="false" outlineLevel="0" collapsed="false">
      <c r="A21" s="7" t="s">
        <v>75</v>
      </c>
      <c r="B21" s="30" t="n">
        <f aca="false">B15-B11</f>
        <v>295000000</v>
      </c>
    </row>
    <row r="23" customFormat="false" ht="15" hidden="false" customHeight="false" outlineLevel="0" collapsed="false">
      <c r="A23" s="18" t="s">
        <v>76</v>
      </c>
      <c r="B23" s="19"/>
      <c r="C23" s="19"/>
    </row>
    <row r="24" customFormat="false" ht="15" hidden="false" customHeight="false" outlineLevel="0" collapsed="false">
      <c r="A24" s="31" t="s">
        <v>77</v>
      </c>
      <c r="B24" s="31" t="s">
        <v>78</v>
      </c>
      <c r="C24" s="31" t="s">
        <v>79</v>
      </c>
    </row>
    <row r="25" customFormat="false" ht="15" hidden="false" customHeight="false" outlineLevel="0" collapsed="false">
      <c r="A25" s="32" t="n">
        <v>3</v>
      </c>
      <c r="B25" s="33" t="n">
        <f aca="false">B5/(B6/A25)</f>
        <v>0.9</v>
      </c>
      <c r="C25" s="34" t="str">
        <f aca="false">IF(AND(ROUND(B25,4)&gt;=1,ROUND(B25,4)&lt;=1.25),"YES","NO")</f>
        <v>NO</v>
      </c>
    </row>
    <row r="26" customFormat="false" ht="15" hidden="false" customHeight="false" outlineLevel="0" collapsed="false">
      <c r="A26" s="32" t="n">
        <v>4</v>
      </c>
      <c r="B26" s="33" t="n">
        <f aca="false">B5/(B6/A26)</f>
        <v>1.2</v>
      </c>
      <c r="C26" s="34" t="str">
        <f aca="false">IF(AND(ROUND(B26,4)&gt;=1,ROUND(B26,4)&lt;=1.25),"YES","NO")</f>
        <v>YES</v>
      </c>
    </row>
    <row r="27" customFormat="false" ht="15" hidden="false" customHeight="false" outlineLevel="0" collapsed="false">
      <c r="A27" s="32" t="n">
        <v>5</v>
      </c>
      <c r="B27" s="33" t="n">
        <f aca="false">B5/(B6/A27)</f>
        <v>1.5</v>
      </c>
      <c r="C27" s="34" t="str">
        <f aca="false">IF(AND(ROUND(B27,4)&gt;=1,ROUND(B27,4)&lt;=1.25),"YES","NO")</f>
        <v>NO</v>
      </c>
    </row>
    <row r="28" customFormat="false" ht="15" hidden="false" customHeight="false" outlineLevel="0" collapsed="false">
      <c r="A28" s="32" t="n">
        <v>6</v>
      </c>
      <c r="B28" s="33" t="n">
        <f aca="false">B5/(B6/A28)</f>
        <v>1.8</v>
      </c>
      <c r="C28" s="34" t="str">
        <f aca="false">IF(AND(ROUND(B28,4)&gt;=1,ROUND(B28,4)&lt;=1.25),"YES","NO")</f>
        <v>NO</v>
      </c>
    </row>
    <row r="29" customFormat="false" ht="15" hidden="false" customHeight="false" outlineLevel="0" collapsed="false">
      <c r="A29" s="17" t="s">
        <v>80</v>
      </c>
    </row>
  </sheetData>
  <conditionalFormatting sqref="B4:C29">
    <cfRule type="cellIs" priority="2" operator="equal" aboveAverage="0" equalAverage="0" bottom="0" percent="0" rank="0" text="" dxfId="2">
      <formula>"NO"</formula>
    </cfRule>
    <cfRule type="cellIs" priority="3" operator="equal" aboveAverage="0" equalAverage="0" bottom="0" percent="0" rank="0" text="" dxfId="3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2026-10-12T11:17:55Z</dcterms:created>
  <dc:creator>openpyxl</dc:creator>
  <dc:description/>
  <dc:language>en-US</dc:language>
  <cp:lastModifiedBy/>
  <dcterms:modified xsi:type="dcterms:W3CDTF">2026-10-12T11:17:55Z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