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ghts Issue 300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<sst xmlns="http://schemas.openxmlformats.org/spreadsheetml/2006/main" count="110" uniqueCount="102">
  <si>
    <t xml:space="preserve">UK Oil Plc — Rights Issue to raise £300,000,000</t>
  </si>
  <si>
    <t xml:space="preserve">Week 3 Sources of Finance, slides 27–34, worked step by step with the figures from the 2026 Assessment Brief.</t>
  </si>
  <si>
    <t xml:space="preserve">Blue = typed-in number   ·   Black = formula   ·   Yellow = change me and everything updates</t>
  </si>
  <si>
    <t xml:space="preserve">1. The facts (Assessment Brief + Week 3 slide 27)</t>
  </si>
  <si>
    <t xml:space="preserve">Item</t>
  </si>
  <si>
    <t xml:space="preserve">Value</t>
  </si>
  <si>
    <t xml:space="preserve">Where it comes from</t>
  </si>
  <si>
    <t xml:space="preserve">Amount we need to raise (£)</t>
  </si>
  <si>
    <t xml:space="preserve">Your figure: £300,000,000.</t>
  </si>
  <si>
    <t xml:space="preserve">Existing £1 ordinary shares in issue</t>
  </si>
  <si>
    <t xml:space="preserve">Brief: '£1 Ordinary Shares £1,000M'.</t>
  </si>
  <si>
    <t xml:space="preserve">Nominal (face) value per share (£)</t>
  </si>
  <si>
    <t xml:space="preserve">Brief: '£1' ordinary shares.</t>
  </si>
  <si>
    <t xml:space="preserve">Current market price per share (£)</t>
  </si>
  <si>
    <t xml:space="preserve">Brief: 'Current Market Price Per Ordinary Share: £3.50'.</t>
  </si>
  <si>
    <t xml:space="preserve">Rights ratio — 1 new share for every N held. N =</t>
  </si>
  <si>
    <t xml:space="preserve">1-for-4 at £1.20 raises exactly £300M (see section 6).</t>
  </si>
  <si>
    <t xml:space="preserve">Issue price per new share (£)</t>
  </si>
  <si>
    <t xml:space="preserve">Must sit inside the bank's range below.</t>
  </si>
  <si>
    <t xml:space="preserve">Bank's suggested issue price — low (£)</t>
  </si>
  <si>
    <t xml:space="preserve">Brief: 'a share price in the region of £1 to £1.25 would result in a successful issue'.</t>
  </si>
  <si>
    <t xml:space="preserve">Bank's suggested issue price — high (£)</t>
  </si>
  <si>
    <t xml:space="preserve">Brief (as above).</t>
  </si>
  <si>
    <t xml:space="preserve">Retained profit (£)</t>
  </si>
  <si>
    <t xml:space="preserve">Brief: £700M. Slide 26: retained profit is NOT cash.</t>
  </si>
  <si>
    <t xml:space="preserve">£1 6% Preference shares (£)</t>
  </si>
  <si>
    <t xml:space="preserve">Brief: £225M.</t>
  </si>
  <si>
    <t xml:space="preserve">Bank underwriting / issue fees (£)</t>
  </si>
  <si>
    <t xml:space="preserve">Brief: '£5 million, regardless of the size of the issue'.</t>
  </si>
  <si>
    <t xml:space="preserve">Value of the right must be over (£)</t>
  </si>
  <si>
    <t xml:space="preserve">Brief: 'provided the value of the right is over £1.00'.</t>
  </si>
  <si>
    <t xml:space="preserve">Example shareholder's stake</t>
  </si>
  <si>
    <t xml:space="preserve">Slide 31 uses a 5% shareholder.</t>
  </si>
  <si>
    <t xml:space="preserve">2. How the rights issue works (slide 28)</t>
  </si>
  <si>
    <t xml:space="preserve">Answer</t>
  </si>
  <si>
    <t xml:space="preserve">Working</t>
  </si>
  <si>
    <t xml:space="preserve">New shares issued</t>
  </si>
  <si>
    <t xml:space="preserve">Total shares in issue after</t>
  </si>
  <si>
    <t xml:space="preserve">Value of the right (£)</t>
  </si>
  <si>
    <t xml:space="preserve">Is the value of the right over £1.00?</t>
  </si>
  <si>
    <t xml:space="preserve">If YES, the brief says shareholders should support the issue.</t>
  </si>
  <si>
    <t xml:space="preserve">Cash received (£)</t>
  </si>
  <si>
    <t xml:space="preserve">Surplus / (shortfall) against the £300M target (£)</t>
  </si>
  <si>
    <t xml:space="preserve">Does it raise enough?</t>
  </si>
  <si>
    <t xml:space="preserve">Is the issue price inside the bank's range?</t>
  </si>
  <si>
    <t xml:space="preserve">Increase in share capital (£)</t>
  </si>
  <si>
    <t xml:space="preserve">Share premium (£)</t>
  </si>
  <si>
    <t xml:space="preserve">Check: share capital + share premium = cash received</t>
  </si>
  <si>
    <t xml:space="preserve">Less: bank fees (£)</t>
  </si>
  <si>
    <t xml:space="preserve">Cash left after the bank fees (£)</t>
  </si>
  <si>
    <t xml:space="preserve">Issue price needed if the £300M must be AFTER fees (£)</t>
  </si>
  <si>
    <t xml:space="preserve">3. The company — equity before and after (slide 29)</t>
  </si>
  <si>
    <t xml:space="preserve">Item (£)</t>
  </si>
  <si>
    <t xml:space="preserve">Before</t>
  </si>
  <si>
    <t xml:space="preserve">Rights issue</t>
  </si>
  <si>
    <t xml:space="preserve">After</t>
  </si>
  <si>
    <t xml:space="preserve">Issued share capital (£1 ordinary shares)</t>
  </si>
  <si>
    <t xml:space="preserve">Slide 29: 500,000 + 100,000 in the lecture example.</t>
  </si>
  <si>
    <t xml:space="preserve">Share premium</t>
  </si>
  <si>
    <t xml:space="preserve">None in the brief before the issue.</t>
  </si>
  <si>
    <t xml:space="preserve">Retained profit</t>
  </si>
  <si>
    <t xml:space="preserve">Unchanged by a rights issue.</t>
  </si>
  <si>
    <t xml:space="preserve">Ordinary shareholders' funds</t>
  </si>
  <si>
    <t xml:space="preserve">£1 6% Preference shares</t>
  </si>
  <si>
    <t xml:space="preserve">Book value / Net worth</t>
  </si>
  <si>
    <t xml:space="preserve">Before = £1,925M as in the brief. Rises by the cash received (slide 28).</t>
  </si>
  <si>
    <t xml:space="preserve">Ordinary shares in issue</t>
  </si>
  <si>
    <t xml:space="preserve">Book value per share (£) — ordinary shareholders</t>
  </si>
  <si>
    <t xml:space="preserve">Slide 29 method: book value ÷ shares. Preference shares left out — they belong to preference holders.</t>
  </si>
  <si>
    <t xml:space="preserve">Book value per share (£) — including preference shares</t>
  </si>
  <si>
    <t xml:space="preserve">Same direction if your tutor counts preference shares in net worth.</t>
  </si>
  <si>
    <t xml:space="preserve">Change in book value per share (£)</t>
  </si>
  <si>
    <t xml:space="preserve">4. Theoretical ex-rights price — TERP (slide 34)</t>
  </si>
  <si>
    <t xml:space="preserve">TERP = (N × cum-rights price + issue price) ÷ (N + 1)</t>
  </si>
  <si>
    <t xml:space="preserve">Check: (market value before + cash raised) ÷ total shares</t>
  </si>
  <si>
    <t xml:space="preserve">Same answer a different way — proves the formula.</t>
  </si>
  <si>
    <t xml:space="preserve">Change in share price once shares trade ex-rights (£)</t>
  </si>
  <si>
    <t xml:space="preserve">Value of a right after the price adjusts: TERP − issue price (£)</t>
  </si>
  <si>
    <t xml:space="preserve">The textbook value of a right. Still over £1.00 — a good extra line for your report.</t>
  </si>
  <si>
    <t xml:space="preserve">Slide 34: in practice the price depends on whether the market believes the new investment will work.</t>
  </si>
  <si>
    <t xml:space="preserve">5. The shareholder — take up the rights or not? (slides 30–33)</t>
  </si>
  <si>
    <t xml:space="preserve">Take up (buy)</t>
  </si>
  <si>
    <t xml:space="preserve">Don't take up</t>
  </si>
  <si>
    <t xml:space="preserve">Shares held before</t>
  </si>
  <si>
    <t xml:space="preserve">Rights: new shares they're offered</t>
  </si>
  <si>
    <t xml:space="preserve">Cash they pay (£)</t>
  </si>
  <si>
    <t xml:space="preserve">Shares held after</t>
  </si>
  <si>
    <t xml:space="preserve">Stake after</t>
  </si>
  <si>
    <t xml:space="preserve">Book value of holding before (£)</t>
  </si>
  <si>
    <t xml:space="preserve">Slide 33: shares × book value per share before.</t>
  </si>
  <si>
    <t xml:space="preserve">Book value of holding after (£)</t>
  </si>
  <si>
    <t xml:space="preserve">Shares × book value per share after.</t>
  </si>
  <si>
    <t xml:space="preserve">Market value of holding before (£)</t>
  </si>
  <si>
    <t xml:space="preserve">Market value of holding after, at TERP (£)</t>
  </si>
  <si>
    <t xml:space="preserve">Better / (worse) off after counting cash paid (£)</t>
  </si>
  <si>
    <t xml:space="preserve">Taking up = no loss. Doing nothing loses value — unless the rights are sold (slide 30: they normally are, on your behalf).</t>
  </si>
  <si>
    <t xml:space="preserve">6. Which ratio and price raise exactly £300M?</t>
  </si>
  <si>
    <t xml:space="preserve">Rights ratio</t>
  </si>
  <si>
    <t xml:space="preserve">New shares</t>
  </si>
  <si>
    <t xml:space="preserve">Issue price needed (£)</t>
  </si>
  <si>
    <t xml:space="preserve">Inside £1.00–£1.25?</t>
  </si>
  <si>
    <t xml:space="preserve">Only 1-for-4 lands inside the bank's range — that's why it's the base case.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</si>
</sst>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&quot;(£&quot;#,##0\);\-"/>
    <numFmt numFmtId="166" formatCode="#,##0;\(#,##0\);\-"/>
    <numFmt numFmtId="167" formatCode="\£#,##0.00;&quot;(£&quot;#,##0.00\);\-"/>
    <numFmt numFmtId="168" formatCode="&quot;1 for &quot;0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08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2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</row>
    <row r="6" customFormat="false" ht="15" hidden="false" customHeight="false" outlineLevel="0" collapsed="false">
      <c r="A6" s="6" t="s">
        <v>4</v>
      </c>
      <c r="B6" s="7" t="s">
        <v>5</v>
      </c>
      <c r="C6" s="7"/>
      <c r="D6" s="7"/>
      <c r="E6" s="6" t="s">
        <v>6</v>
      </c>
    </row>
    <row r="7" customFormat="false" ht="15" hidden="false" customHeight="false" outlineLevel="0" collapsed="false">
      <c r="A7" s="8" t="s">
        <v>7</v>
      </c>
      <c r="B7" s="9" t="n">
        <v>300000000</v>
      </c>
      <c r="E7" s="10" t="s">
        <v>8</v>
      </c>
    </row>
    <row r="8" customFormat="false" ht="15" hidden="false" customHeight="false" outlineLevel="0" collapsed="false">
      <c r="A8" s="8" t="s">
        <v>9</v>
      </c>
      <c r="B8" s="11" t="n">
        <v>1000000000</v>
      </c>
      <c r="E8" s="10" t="s">
        <v>10</v>
      </c>
    </row>
    <row r="9" customFormat="false" ht="15" hidden="false" customHeight="false" outlineLevel="0" collapsed="false">
      <c r="A9" s="8" t="s">
        <v>11</v>
      </c>
      <c r="B9" s="12" t="n">
        <v>1</v>
      </c>
      <c r="E9" s="10" t="s">
        <v>12</v>
      </c>
    </row>
    <row r="10" customFormat="false" ht="15" hidden="false" customHeight="false" outlineLevel="0" collapsed="false">
      <c r="A10" s="8" t="s">
        <v>13</v>
      </c>
      <c r="B10" s="12" t="n">
        <v>3.5</v>
      </c>
      <c r="E10" s="10" t="s">
        <v>14</v>
      </c>
    </row>
    <row r="11" customFormat="false" ht="15" hidden="false" customHeight="false" outlineLevel="0" collapsed="false">
      <c r="A11" s="8" t="s">
        <v>15</v>
      </c>
      <c r="B11" s="13" t="n">
        <v>4</v>
      </c>
      <c r="E11" s="10" t="s">
        <v>16</v>
      </c>
    </row>
    <row r="12" customFormat="false" ht="15" hidden="false" customHeight="false" outlineLevel="0" collapsed="false">
      <c r="A12" s="8" t="s">
        <v>17</v>
      </c>
      <c r="B12" s="14" t="n">
        <v>1.2</v>
      </c>
      <c r="E12" s="10" t="s">
        <v>18</v>
      </c>
    </row>
    <row r="13" customFormat="false" ht="15" hidden="false" customHeight="false" outlineLevel="0" collapsed="false">
      <c r="A13" s="8" t="s">
        <v>19</v>
      </c>
      <c r="B13" s="12" t="n">
        <v>1</v>
      </c>
      <c r="E13" s="10" t="s">
        <v>20</v>
      </c>
    </row>
    <row r="14" customFormat="false" ht="15" hidden="false" customHeight="false" outlineLevel="0" collapsed="false">
      <c r="A14" s="8" t="s">
        <v>21</v>
      </c>
      <c r="B14" s="12" t="n">
        <v>1.25</v>
      </c>
      <c r="E14" s="10" t="s">
        <v>22</v>
      </c>
    </row>
    <row r="15" customFormat="false" ht="15" hidden="false" customHeight="false" outlineLevel="0" collapsed="false">
      <c r="A15" s="8" t="s">
        <v>23</v>
      </c>
      <c r="B15" s="15" t="n">
        <v>700000000</v>
      </c>
      <c r="E15" s="10" t="s">
        <v>24</v>
      </c>
    </row>
    <row r="16" customFormat="false" ht="15" hidden="false" customHeight="false" outlineLevel="0" collapsed="false">
      <c r="A16" s="8" t="s">
        <v>25</v>
      </c>
      <c r="B16" s="15" t="n">
        <v>225000000</v>
      </c>
      <c r="E16" s="10" t="s">
        <v>26</v>
      </c>
    </row>
    <row r="17" customFormat="false" ht="15" hidden="false" customHeight="false" outlineLevel="0" collapsed="false">
      <c r="A17" s="8" t="s">
        <v>27</v>
      </c>
      <c r="B17" s="15" t="n">
        <v>5000000</v>
      </c>
      <c r="E17" s="10" t="s">
        <v>28</v>
      </c>
    </row>
    <row r="18" customFormat="false" ht="15" hidden="false" customHeight="false" outlineLevel="0" collapsed="false">
      <c r="A18" s="8" t="s">
        <v>29</v>
      </c>
      <c r="B18" s="12" t="n">
        <v>1</v>
      </c>
      <c r="E18" s="10" t="s">
        <v>30</v>
      </c>
    </row>
    <row r="19" customFormat="false" ht="15" hidden="false" customHeight="false" outlineLevel="0" collapsed="false">
      <c r="A19" s="8" t="s">
        <v>31</v>
      </c>
      <c r="B19" s="16" t="n">
        <v>0.05</v>
      </c>
      <c r="E19" s="10" t="s">
        <v>32</v>
      </c>
    </row>
    <row r="21" customFormat="false" ht="15" hidden="false" customHeight="false" outlineLevel="0" collapsed="false">
      <c r="A21" s="4" t="s">
        <v>33</v>
      </c>
      <c r="B21" s="5"/>
      <c r="C21" s="5"/>
      <c r="D21" s="5"/>
      <c r="E21" s="5"/>
    </row>
    <row r="22" customFormat="false" ht="15" hidden="false" customHeight="false" outlineLevel="0" collapsed="false">
      <c r="A22" s="6" t="s">
        <v>4</v>
      </c>
      <c r="B22" s="7" t="s">
        <v>34</v>
      </c>
      <c r="C22" s="7"/>
      <c r="D22" s="7"/>
      <c r="E22" s="6" t="s">
        <v>35</v>
      </c>
    </row>
    <row r="23" customFormat="false" ht="15" hidden="false" customHeight="false" outlineLevel="0" collapsed="false">
      <c r="A23" s="8" t="s">
        <v>36</v>
      </c>
      <c r="B23" s="17" t="n">
        <f aca="false">B8/B11</f>
        <v>250000000</v>
      </c>
      <c r="E23" s="10" t="str">
        <f aca="false">TEXT(B8,"#,##0")&amp;" existing shares ÷ "&amp;B11</f>
        <v>1,000,000,000 existing shares ÷ 4</v>
      </c>
    </row>
    <row r="24" customFormat="false" ht="15" hidden="false" customHeight="false" outlineLevel="0" collapsed="false">
      <c r="A24" s="8" t="s">
        <v>37</v>
      </c>
      <c r="B24" s="17" t="n">
        <f aca="false">B8+B23</f>
        <v>1250000000</v>
      </c>
      <c r="E24" s="10" t="str">
        <f aca="false">TEXT(B8,"#,##0")&amp;" + "&amp;TEXT(B23,"#,##0")</f>
        <v>1,000,000,000 + 250,000,000</v>
      </c>
    </row>
    <row r="25" customFormat="false" ht="15" hidden="false" customHeight="false" outlineLevel="0" collapsed="false">
      <c r="A25" s="18" t="s">
        <v>38</v>
      </c>
      <c r="B25" s="19" t="n">
        <f aca="false">B10-B12</f>
        <v>2.3</v>
      </c>
      <c r="E25" s="10" t="str">
        <f aca="false">"£"&amp;TEXT(B10,"0.00")&amp;" market price − £"&amp;TEXT(B12,"0.00")&amp;" issue price"</f>
        <v>£3.50 market price − £1.20 issue price</v>
      </c>
    </row>
    <row r="26" customFormat="false" ht="15" hidden="false" customHeight="false" outlineLevel="0" collapsed="false">
      <c r="A26" s="8" t="s">
        <v>39</v>
      </c>
      <c r="B26" s="8" t="str">
        <f aca="false">IF(B25&gt;B18,"YES","NO")</f>
        <v>YES</v>
      </c>
      <c r="E26" s="10" t="s">
        <v>40</v>
      </c>
    </row>
    <row r="27" customFormat="false" ht="15" hidden="false" customHeight="false" outlineLevel="0" collapsed="false">
      <c r="A27" s="18" t="s">
        <v>41</v>
      </c>
      <c r="B27" s="20" t="n">
        <f aca="false">B23*B12</f>
        <v>300000000</v>
      </c>
      <c r="E27" s="10" t="str">
        <f aca="false">TEXT(B23,"#,##0")&amp;" new shares × £"&amp;TEXT(B12,"0.00")</f>
        <v>250,000,000 new shares × £1.20</v>
      </c>
    </row>
    <row r="28" customFormat="false" ht="15" hidden="false" customHeight="false" outlineLevel="0" collapsed="false">
      <c r="A28" s="8" t="s">
        <v>42</v>
      </c>
      <c r="B28" s="21" t="n">
        <f aca="false">B27-B7</f>
        <v>0</v>
      </c>
    </row>
    <row r="29" customFormat="false" ht="15" hidden="false" customHeight="false" outlineLevel="0" collapsed="false">
      <c r="A29" s="8" t="s">
        <v>43</v>
      </c>
      <c r="B29" s="8" t="str">
        <f aca="false">IF(B28&gt;=0,"YES","NO")</f>
        <v>YES</v>
      </c>
    </row>
    <row r="30" customFormat="false" ht="15" hidden="false" customHeight="false" outlineLevel="0" collapsed="false">
      <c r="A30" s="8" t="s">
        <v>44</v>
      </c>
      <c r="B30" s="8" t="str">
        <f aca="false">IF(AND(B12&gt;=B13,B12&lt;=B14),"YES","NO")</f>
        <v>YES</v>
      </c>
    </row>
    <row r="31" customFormat="false" ht="15" hidden="false" customHeight="false" outlineLevel="0" collapsed="false">
      <c r="A31" s="8" t="s">
        <v>45</v>
      </c>
      <c r="B31" s="21" t="n">
        <f aca="false">B23*B9</f>
        <v>250000000</v>
      </c>
      <c r="E31" s="10" t="str">
        <f aca="false">TEXT(B23,"#,##0")&amp;" new shares × £"&amp;TEXT(B9,"0.00")&amp;" nominal value"</f>
        <v>250,000,000 new shares × £1.00 nominal value</v>
      </c>
    </row>
    <row r="32" customFormat="false" ht="15" hidden="false" customHeight="false" outlineLevel="0" collapsed="false">
      <c r="A32" s="18" t="s">
        <v>46</v>
      </c>
      <c r="B32" s="20" t="n">
        <f aca="false">B23*(B12-B9)</f>
        <v>50000000</v>
      </c>
      <c r="E32" s="10" t="str">
        <f aca="false">"(£"&amp;TEXT(B12,"0.00")&amp;" issue price − £"&amp;TEXT(B9,"0.00")&amp;" nominal) × "&amp;TEXT(B23,"#,##0")&amp;" new shares"</f>
        <v>(£1.20 issue price − £1.00 nominal) × 250,000,000 new shares</v>
      </c>
    </row>
    <row r="33" customFormat="false" ht="15" hidden="false" customHeight="false" outlineLevel="0" collapsed="false">
      <c r="A33" s="8" t="s">
        <v>47</v>
      </c>
      <c r="B33" s="8" t="str">
        <f aca="false">IF(ABS(B31+B32-B27)&lt;0.5,"OK","CHECK")</f>
        <v>OK</v>
      </c>
    </row>
    <row r="34" customFormat="false" ht="15" hidden="false" customHeight="false" outlineLevel="0" collapsed="false">
      <c r="A34" s="8" t="s">
        <v>48</v>
      </c>
      <c r="B34" s="21" t="n">
        <f aca="false">-B17</f>
        <v>-5000000</v>
      </c>
    </row>
    <row r="35" customFormat="false" ht="15" hidden="false" customHeight="false" outlineLevel="0" collapsed="false">
      <c r="A35" s="18" t="s">
        <v>49</v>
      </c>
      <c r="B35" s="20" t="n">
        <f aca="false">B27+B34</f>
        <v>295000000</v>
      </c>
    </row>
    <row r="36" customFormat="false" ht="15" hidden="false" customHeight="false" outlineLevel="0" collapsed="false">
      <c r="A36" s="8" t="s">
        <v>50</v>
      </c>
      <c r="B36" s="22" t="n">
        <f aca="false">(B7+B17)/B23</f>
        <v>1.22</v>
      </c>
      <c r="E36" s="10" t="str">
        <f aca="false">"(£"&amp;TEXT(B7,"#,##0")&amp;" + £"&amp;TEXT(B17,"#,##0")&amp;" fees) ÷ "&amp;TEXT(B23,"#,##0")&amp;" new shares"</f>
        <v>(£300,000,000 + £5,000,000 fees) ÷ 250,000,000 new shares</v>
      </c>
    </row>
    <row r="38" customFormat="false" ht="15" hidden="false" customHeight="false" outlineLevel="0" collapsed="false">
      <c r="A38" s="4" t="s">
        <v>51</v>
      </c>
      <c r="B38" s="5"/>
      <c r="C38" s="5"/>
      <c r="D38" s="5"/>
      <c r="E38" s="5"/>
    </row>
    <row r="39" customFormat="false" ht="15" hidden="false" customHeight="false" outlineLevel="0" collapsed="false">
      <c r="A39" s="6" t="s">
        <v>52</v>
      </c>
      <c r="B39" s="7" t="s">
        <v>53</v>
      </c>
      <c r="C39" s="7" t="s">
        <v>54</v>
      </c>
      <c r="D39" s="7" t="s">
        <v>55</v>
      </c>
      <c r="E39" s="6" t="s">
        <v>35</v>
      </c>
    </row>
    <row r="40" customFormat="false" ht="15" hidden="false" customHeight="false" outlineLevel="0" collapsed="false">
      <c r="A40" s="8" t="s">
        <v>56</v>
      </c>
      <c r="B40" s="21" t="n">
        <f aca="false">B8*B9</f>
        <v>1000000000</v>
      </c>
      <c r="C40" s="21" t="n">
        <f aca="false">B31</f>
        <v>250000000</v>
      </c>
      <c r="D40" s="21" t="n">
        <f aca="false">B40+C40</f>
        <v>1250000000</v>
      </c>
      <c r="E40" s="10" t="s">
        <v>57</v>
      </c>
    </row>
    <row r="41" customFormat="false" ht="15" hidden="false" customHeight="false" outlineLevel="0" collapsed="false">
      <c r="A41" s="8" t="s">
        <v>58</v>
      </c>
      <c r="B41" s="15" t="n">
        <v>0</v>
      </c>
      <c r="C41" s="21" t="n">
        <f aca="false">B32</f>
        <v>50000000</v>
      </c>
      <c r="D41" s="21" t="n">
        <f aca="false">B41+C41</f>
        <v>50000000</v>
      </c>
      <c r="E41" s="10" t="s">
        <v>59</v>
      </c>
    </row>
    <row r="42" customFormat="false" ht="15" hidden="false" customHeight="false" outlineLevel="0" collapsed="false">
      <c r="A42" s="8" t="s">
        <v>60</v>
      </c>
      <c r="B42" s="21" t="n">
        <f aca="false">B15</f>
        <v>700000000</v>
      </c>
      <c r="C42" s="15" t="n">
        <v>0</v>
      </c>
      <c r="D42" s="21" t="n">
        <f aca="false">B42+C42</f>
        <v>700000000</v>
      </c>
      <c r="E42" s="10" t="s">
        <v>61</v>
      </c>
    </row>
    <row r="43" customFormat="false" ht="15" hidden="false" customHeight="false" outlineLevel="0" collapsed="false">
      <c r="A43" s="18" t="s">
        <v>62</v>
      </c>
      <c r="B43" s="20" t="n">
        <f aca="false">SUM(B40:B42)</f>
        <v>1700000000</v>
      </c>
      <c r="C43" s="20" t="n">
        <f aca="false">SUM(C40:C42)</f>
        <v>300000000</v>
      </c>
      <c r="D43" s="20" t="n">
        <f aca="false">SUM(D40:D42)</f>
        <v>2000000000</v>
      </c>
    </row>
    <row r="44" customFormat="false" ht="15" hidden="false" customHeight="false" outlineLevel="0" collapsed="false">
      <c r="A44" s="8" t="s">
        <v>63</v>
      </c>
      <c r="B44" s="21" t="n">
        <f aca="false">B16</f>
        <v>225000000</v>
      </c>
      <c r="C44" s="15" t="n">
        <v>0</v>
      </c>
      <c r="D44" s="21" t="n">
        <f aca="false">B44+C44</f>
        <v>225000000</v>
      </c>
    </row>
    <row r="45" customFormat="false" ht="15" hidden="false" customHeight="false" outlineLevel="0" collapsed="false">
      <c r="A45" s="18" t="s">
        <v>64</v>
      </c>
      <c r="B45" s="20" t="n">
        <f aca="false">B43+B44</f>
        <v>1925000000</v>
      </c>
      <c r="C45" s="20" t="n">
        <f aca="false">C43+C44</f>
        <v>300000000</v>
      </c>
      <c r="D45" s="20" t="n">
        <f aca="false">D43+D44</f>
        <v>2225000000</v>
      </c>
      <c r="E45" s="10" t="s">
        <v>65</v>
      </c>
    </row>
    <row r="46" customFormat="false" ht="15" hidden="false" customHeight="false" outlineLevel="0" collapsed="false">
      <c r="A46" s="8" t="s">
        <v>66</v>
      </c>
      <c r="B46" s="17" t="n">
        <f aca="false">B8</f>
        <v>1000000000</v>
      </c>
      <c r="C46" s="17" t="n">
        <f aca="false">B23</f>
        <v>250000000</v>
      </c>
      <c r="D46" s="17" t="n">
        <f aca="false">B46+C46</f>
        <v>1250000000</v>
      </c>
    </row>
    <row r="47" customFormat="false" ht="15" hidden="false" customHeight="false" outlineLevel="0" collapsed="false">
      <c r="A47" s="18" t="s">
        <v>67</v>
      </c>
      <c r="B47" s="19" t="n">
        <f aca="false">B43/B46</f>
        <v>1.7</v>
      </c>
      <c r="D47" s="19" t="n">
        <f aca="false">D43/D46</f>
        <v>1.6</v>
      </c>
      <c r="E47" s="10" t="s">
        <v>68</v>
      </c>
    </row>
    <row r="48" customFormat="false" ht="15" hidden="false" customHeight="false" outlineLevel="0" collapsed="false">
      <c r="A48" s="8" t="s">
        <v>69</v>
      </c>
      <c r="B48" s="22" t="n">
        <f aca="false">B45/B46</f>
        <v>1.925</v>
      </c>
      <c r="D48" s="22" t="n">
        <f aca="false">D45/D46</f>
        <v>1.78</v>
      </c>
      <c r="E48" s="10" t="s">
        <v>70</v>
      </c>
    </row>
    <row r="49" customFormat="false" ht="36" hidden="false" customHeight="true" outlineLevel="0" collapsed="false">
      <c r="A49" s="8" t="s">
        <v>71</v>
      </c>
      <c r="D49" s="22" t="n">
        <f aca="false">D47-B47</f>
        <v>-0.0999999999999999</v>
      </c>
      <c r="E49" s="10" t="str">
        <f aca="false">"Issue price £"&amp;TEXT(B12,"0.00")&amp;" is "&amp;IF(B12&lt;B47,"BELOW","ABOVE")&amp;" book value per share (£"&amp;TEXT(B47,"0.00")&amp;"), so it "&amp;IF(B12&lt;B47,"FALLS","RISES")&amp;". In the lecture example £2 was above £1.40, so it rose to £1.50."</f>
        <v>Issue price £1.20 is BELOW book value per share (£1.70), so it FALLS. In the lecture example £2 was above £1.40, so it rose to £1.50.</v>
      </c>
    </row>
    <row r="51" customFormat="false" ht="15" hidden="false" customHeight="false" outlineLevel="0" collapsed="false">
      <c r="A51" s="4" t="s">
        <v>72</v>
      </c>
      <c r="B51" s="5"/>
      <c r="C51" s="5"/>
      <c r="D51" s="5"/>
      <c r="E51" s="5"/>
    </row>
    <row r="52" customFormat="false" ht="15" hidden="false" customHeight="false" outlineLevel="0" collapsed="false">
      <c r="A52" s="6" t="s">
        <v>4</v>
      </c>
      <c r="B52" s="7" t="s">
        <v>34</v>
      </c>
      <c r="C52" s="7"/>
      <c r="D52" s="7"/>
      <c r="E52" s="6" t="s">
        <v>35</v>
      </c>
    </row>
    <row r="53" customFormat="false" ht="15" hidden="false" customHeight="false" outlineLevel="0" collapsed="false">
      <c r="A53" s="18" t="s">
        <v>73</v>
      </c>
      <c r="B53" s="19" t="n">
        <f aca="false">(B11*B10+B12)/(B11+1)</f>
        <v>3.04</v>
      </c>
      <c r="E53" s="10" t="str">
        <f aca="false">"("&amp;B11&amp;" × £"&amp;TEXT(B10,"0.00")&amp;" + £"&amp;TEXT(B12,"0.00")&amp;") ÷ "&amp;(B11+1)</f>
        <v>(4 × £3.50 + £1.20) ÷ 5</v>
      </c>
    </row>
    <row r="54" customFormat="false" ht="15" hidden="false" customHeight="false" outlineLevel="0" collapsed="false">
      <c r="A54" s="8" t="s">
        <v>74</v>
      </c>
      <c r="B54" s="22" t="n">
        <f aca="false">(B8*B10+B27)/B24</f>
        <v>3.04</v>
      </c>
      <c r="E54" s="10" t="s">
        <v>75</v>
      </c>
    </row>
    <row r="55" customFormat="false" ht="15" hidden="false" customHeight="false" outlineLevel="0" collapsed="false">
      <c r="A55" s="8" t="s">
        <v>76</v>
      </c>
      <c r="B55" s="22" t="n">
        <f aca="false">B53-B10</f>
        <v>-0.46</v>
      </c>
    </row>
    <row r="56" customFormat="false" ht="15" hidden="false" customHeight="false" outlineLevel="0" collapsed="false">
      <c r="A56" s="8" t="s">
        <v>77</v>
      </c>
      <c r="B56" s="22" t="n">
        <f aca="false">B53-B12</f>
        <v>1.84</v>
      </c>
      <c r="E56" s="10" t="s">
        <v>78</v>
      </c>
    </row>
    <row r="57" customFormat="false" ht="15" hidden="false" customHeight="false" outlineLevel="0" collapsed="false">
      <c r="A57" s="23" t="s">
        <v>79</v>
      </c>
    </row>
    <row r="59" customFormat="false" ht="15" hidden="false" customHeight="false" outlineLevel="0" collapsed="false">
      <c r="A59" s="4" t="s">
        <v>80</v>
      </c>
      <c r="B59" s="5"/>
      <c r="C59" s="5"/>
      <c r="D59" s="5"/>
      <c r="E59" s="5"/>
    </row>
    <row r="60" customFormat="false" ht="15" hidden="false" customHeight="false" outlineLevel="0" collapsed="false">
      <c r="A60" s="6" t="s">
        <v>4</v>
      </c>
      <c r="B60" s="7" t="s">
        <v>81</v>
      </c>
      <c r="C60" s="7" t="s">
        <v>82</v>
      </c>
      <c r="D60" s="7"/>
      <c r="E60" s="6" t="s">
        <v>35</v>
      </c>
    </row>
    <row r="61" customFormat="false" ht="15" hidden="false" customHeight="false" outlineLevel="0" collapsed="false">
      <c r="A61" s="8" t="s">
        <v>83</v>
      </c>
      <c r="B61" s="17" t="n">
        <f aca="false">B19*B8</f>
        <v>50000000</v>
      </c>
      <c r="C61" s="17" t="n">
        <f aca="false">B19*B8</f>
        <v>50000000</v>
      </c>
      <c r="E61" s="10" t="str">
        <f aca="false">TEXT(B8,"#,##0")&amp;" × "&amp;TEXT(B19,"0%")</f>
        <v>1,000,000,000 × 5%</v>
      </c>
    </row>
    <row r="62" customFormat="false" ht="15" hidden="false" customHeight="false" outlineLevel="0" collapsed="false">
      <c r="A62" s="8" t="s">
        <v>84</v>
      </c>
      <c r="B62" s="17" t="n">
        <f aca="false">B61/B11</f>
        <v>12500000</v>
      </c>
      <c r="C62" s="17" t="n">
        <f aca="false">C61/B11</f>
        <v>12500000</v>
      </c>
      <c r="E62" s="10" t="str">
        <f aca="false">TEXT(B61,"#,##0")&amp;" ÷ "&amp;B11</f>
        <v>50,000,000 ÷ 4</v>
      </c>
    </row>
    <row r="63" customFormat="false" ht="15" hidden="false" customHeight="false" outlineLevel="0" collapsed="false">
      <c r="A63" s="8" t="s">
        <v>85</v>
      </c>
      <c r="B63" s="21" t="n">
        <f aca="false">B62*B12</f>
        <v>15000000</v>
      </c>
      <c r="C63" s="15" t="n">
        <v>0</v>
      </c>
      <c r="E63" s="10" t="str">
        <f aca="false">TEXT(B62,"#,##0")&amp;" × £"&amp;TEXT(B12,"0.00")&amp;" — slide 32: can they afford it?"</f>
        <v>12,500,000 × £1.20 — slide 32: can they afford it?</v>
      </c>
    </row>
    <row r="64" customFormat="false" ht="15" hidden="false" customHeight="false" outlineLevel="0" collapsed="false">
      <c r="A64" s="8" t="s">
        <v>86</v>
      </c>
      <c r="B64" s="17" t="n">
        <f aca="false">B61+B62</f>
        <v>62500000</v>
      </c>
      <c r="C64" s="17" t="n">
        <f aca="false">C61</f>
        <v>50000000</v>
      </c>
    </row>
    <row r="65" customFormat="false" ht="15" hidden="false" customHeight="false" outlineLevel="0" collapsed="false">
      <c r="A65" s="18" t="s">
        <v>87</v>
      </c>
      <c r="B65" s="24" t="n">
        <f aca="false">B64/B24</f>
        <v>0.05</v>
      </c>
      <c r="C65" s="24" t="n">
        <f aca="false">C64/B24</f>
        <v>0.04</v>
      </c>
      <c r="E65" s="10" t="str">
        <f aca="false">"Don't take up: "&amp;TEXT(C64,"#,##0")&amp;" ÷ "&amp;TEXT(B24,"#,##0")&amp;" — diluted, like 4.16% on slide 33"</f>
        <v>Don't take up: 50,000,000 ÷ 1,250,000,000 — diluted, like 4.16% on slide 33</v>
      </c>
    </row>
    <row r="66" customFormat="false" ht="15" hidden="false" customHeight="false" outlineLevel="0" collapsed="false">
      <c r="A66" s="8" t="s">
        <v>88</v>
      </c>
      <c r="B66" s="21" t="n">
        <f aca="false">B61*B47</f>
        <v>85000000</v>
      </c>
      <c r="C66" s="21" t="n">
        <f aca="false">C61*B47</f>
        <v>85000000</v>
      </c>
      <c r="E66" s="10" t="s">
        <v>89</v>
      </c>
    </row>
    <row r="67" customFormat="false" ht="15" hidden="false" customHeight="false" outlineLevel="0" collapsed="false">
      <c r="A67" s="8" t="s">
        <v>90</v>
      </c>
      <c r="B67" s="21" t="n">
        <f aca="false">B64*D47</f>
        <v>100000000</v>
      </c>
      <c r="C67" s="21" t="n">
        <f aca="false">C64*D47</f>
        <v>80000000</v>
      </c>
      <c r="E67" s="10" t="s">
        <v>91</v>
      </c>
    </row>
    <row r="68" customFormat="false" ht="15" hidden="false" customHeight="false" outlineLevel="0" collapsed="false">
      <c r="A68" s="8" t="s">
        <v>92</v>
      </c>
      <c r="B68" s="21" t="n">
        <f aca="false">B61*B10</f>
        <v>175000000</v>
      </c>
      <c r="C68" s="21" t="n">
        <f aca="false">C61*B10</f>
        <v>175000000</v>
      </c>
    </row>
    <row r="69" customFormat="false" ht="15" hidden="false" customHeight="false" outlineLevel="0" collapsed="false">
      <c r="A69" s="8" t="s">
        <v>93</v>
      </c>
      <c r="B69" s="21" t="n">
        <f aca="false">B64*B53</f>
        <v>190000000</v>
      </c>
      <c r="C69" s="21" t="n">
        <f aca="false">C64*B53</f>
        <v>152000000</v>
      </c>
    </row>
    <row r="70" customFormat="false" ht="22.35" hidden="false" customHeight="false" outlineLevel="0" collapsed="false">
      <c r="A70" s="18" t="s">
        <v>94</v>
      </c>
      <c r="B70" s="20" t="n">
        <f aca="false">B69-B63-B68</f>
        <v>0</v>
      </c>
      <c r="C70" s="20" t="n">
        <f aca="false">C69-C63-C68</f>
        <v>-23000000</v>
      </c>
      <c r="E70" s="10" t="s">
        <v>95</v>
      </c>
    </row>
    <row r="72" customFormat="false" ht="15" hidden="false" customHeight="false" outlineLevel="0" collapsed="false">
      <c r="A72" s="4" t="s">
        <v>96</v>
      </c>
      <c r="B72" s="5"/>
      <c r="C72" s="5"/>
      <c r="D72" s="5"/>
      <c r="E72" s="5"/>
    </row>
    <row r="73" customFormat="false" ht="15" hidden="false" customHeight="false" outlineLevel="0" collapsed="false">
      <c r="A73" s="6" t="s">
        <v>97</v>
      </c>
      <c r="B73" s="7" t="s">
        <v>98</v>
      </c>
      <c r="C73" s="7" t="s">
        <v>99</v>
      </c>
      <c r="D73" s="7" t="s">
        <v>100</v>
      </c>
      <c r="E73" s="6" t="s">
        <v>38</v>
      </c>
    </row>
    <row r="74" customFormat="false" ht="15" hidden="false" customHeight="false" outlineLevel="0" collapsed="false">
      <c r="A74" s="25" t="n">
        <v>3</v>
      </c>
      <c r="B74" s="17" t="n">
        <f aca="false">B8/A74</f>
        <v>333333333.333333</v>
      </c>
      <c r="C74" s="22" t="n">
        <f aca="false">B7/B74</f>
        <v>0.9</v>
      </c>
      <c r="D74" s="26" t="str">
        <f aca="false">IF(AND(ROUND(C74,4)&gt;=B13,ROUND(C74,4)&lt;=B14),"YES","NO")</f>
        <v>NO</v>
      </c>
      <c r="E74" s="27" t="n">
        <f aca="false">B10-C74</f>
        <v>2.6</v>
      </c>
    </row>
    <row r="75" customFormat="false" ht="15" hidden="false" customHeight="false" outlineLevel="0" collapsed="false">
      <c r="A75" s="25" t="n">
        <v>4</v>
      </c>
      <c r="B75" s="17" t="n">
        <f aca="false">B8/A75</f>
        <v>250000000</v>
      </c>
      <c r="C75" s="22" t="n">
        <f aca="false">B7/B75</f>
        <v>1.2</v>
      </c>
      <c r="D75" s="26" t="str">
        <f aca="false">IF(AND(ROUND(C75,4)&gt;=B13,ROUND(C75,4)&lt;=B14),"YES","NO")</f>
        <v>YES</v>
      </c>
      <c r="E75" s="27" t="n">
        <f aca="false">B10-C75</f>
        <v>2.3</v>
      </c>
    </row>
    <row r="76" customFormat="false" ht="15" hidden="false" customHeight="false" outlineLevel="0" collapsed="false">
      <c r="A76" s="25" t="n">
        <v>5</v>
      </c>
      <c r="B76" s="17" t="n">
        <f aca="false">B8/A76</f>
        <v>200000000</v>
      </c>
      <c r="C76" s="22" t="n">
        <f aca="false">B7/B76</f>
        <v>1.5</v>
      </c>
      <c r="D76" s="26" t="str">
        <f aca="false">IF(AND(ROUND(C76,4)&gt;=B13,ROUND(C76,4)&lt;=B14),"YES","NO")</f>
        <v>NO</v>
      </c>
      <c r="E76" s="27" t="n">
        <f aca="false">B10-C76</f>
        <v>2</v>
      </c>
    </row>
    <row r="77" customFormat="false" ht="15" hidden="false" customHeight="false" outlineLevel="0" collapsed="false">
      <c r="A77" s="25" t="n">
        <v>6</v>
      </c>
      <c r="B77" s="17" t="n">
        <f aca="false">B8/A77</f>
        <v>166666666.666667</v>
      </c>
      <c r="C77" s="22" t="n">
        <f aca="false">B7/B77</f>
        <v>1.8</v>
      </c>
      <c r="D77" s="26" t="str">
        <f aca="false">IF(AND(ROUND(C77,4)&gt;=B13,ROUND(C77,4)&lt;=B14),"YES","NO")</f>
        <v>NO</v>
      </c>
      <c r="E77" s="27" t="n">
        <f aca="false">B10-C77</f>
        <v>1.7</v>
      </c>
    </row>
    <row r="78" customFormat="false" ht="15" hidden="false" customHeight="false" outlineLevel="0" collapsed="false">
      <c r="A78" s="23" t="s">
        <v>101</v>
      </c>
    </row>
  </sheetData>
  <conditionalFormatting sqref="B5:D78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0">
      <formula>"CHECK"</formula>
    </cfRule>
    <cfRule type="cellIs" priority="4" operator="equal" aboveAverage="0" equalAverage="0" bottom="0" percent="0" rank="0" text="" dxfId="1">
      <formula>"YES"</formula>
    </cfRule>
    <cfRule type="cellIs" priority="5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2026-10-09T14:32:17Z</dcterms:created>
  <dc:creator>openpyxl</dc:creator>
  <dc:description/>
  <dc:language>en-US</dc:language>
  <cp:lastModifiedBy/>
  <dcterms:modified xsi:type="dcterms:W3CDTF">2026-10-09T14:32:17Z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