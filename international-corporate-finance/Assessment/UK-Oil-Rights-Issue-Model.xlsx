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Rights Issue" sheetId="3" state="visible" r:id="rId5"/>
    <sheet name="Finance Options" sheetId="4" state="visible" r:id="rId6"/>
    <sheet name="Balance Sheet" sheetId="5" state="visible" r:id="rId7"/>
    <sheet name="Dilution" sheetId="6" state="visible" r:id="rId8"/>
    <sheet name="Price Sensitivity" sheetId="7" state="visible" r:id="rId9"/>
    <sheet name="Week 3 Exampl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<sst xmlns="http://schemas.openxmlformats.org/spreadsheetml/2006/main" count="741" uniqueCount="515">
  <si>
    <t xml:space="preserve">UK Oil Plc — Rights Issue &amp; Finance Options Model</t>
  </si>
  <si>
    <t xml:space="preserve">6012LBSBW International Corporate Finance (LJMU) · 2026 Assessment Brief (Sem 1 v1) · Week 3: Sources of Finance</t>
  </si>
  <si>
    <t xml:space="preserve">What it does</t>
  </si>
  <si>
    <t xml:space="preserve">Compares every way of financing the two options in the brief — equity, debt or a combination — on cost, gearing and risk. Also prices a rights issue to fund Option 1 (North Sea platform) and Option 2 (acquiring 80% or 100% of Arabic Oil Supplies), using the brief's numbers and the Week 3 method.</t>
  </si>
  <si>
    <t xml:space="preserve">How to use it</t>
  </si>
  <si>
    <t xml:space="preserve">1</t>
  </si>
  <si>
    <t xml:space="preserve">Change only the YELLOW cells on Inputs: issue price, platform supplier, EUR/GBP rate, % funded by equity, example shareholder stake.</t>
  </si>
  <si>
    <t xml:space="preserve">2</t>
  </si>
  <si>
    <t xml:space="preserve">Read the answers on Rights Issue, Balance Sheet and Dilution — three scenarios side by side.</t>
  </si>
  <si>
    <t xml:space="preserve">3</t>
  </si>
  <si>
    <t xml:space="preserve">Use Price Sensitivity to compare issue prices across the bank's £1.00–£1.25 range (pick the scenario in its yellow cell).</t>
  </si>
  <si>
    <t xml:space="preserve">4</t>
  </si>
  <si>
    <t xml:space="preserve">Finance Options compares 100% equity, four types of 100% debt and a combination: fees, cost, gearing, interest cover and risks, plus a gearing ladder (Week 3 slides 52–62).</t>
  </si>
  <si>
    <t xml:space="preserve">5</t>
  </si>
  <si>
    <t xml:space="preserve">Week 3 Example rebuilds the lecture's 1-for-5 example with the same formulas — every line matches the slide answers.</t>
  </si>
  <si>
    <t xml:space="preserve">Colour key</t>
  </si>
  <si>
    <t xml:space="preserve">Example 1.25</t>
  </si>
  <si>
    <t xml:space="preserve">Blue text = a number typed in from the brief or the slides.</t>
  </si>
  <si>
    <t xml:space="preserve">Black text = a formula calculated in this tab.</t>
  </si>
  <si>
    <t xml:space="preserve">Green text = a figure pulled from another tab.</t>
  </si>
  <si>
    <t xml:space="preserve">Yellow fill = an assumption or choice you should check and change.</t>
  </si>
  <si>
    <t xml:space="preserve">Formulas used</t>
  </si>
  <si>
    <t xml:space="preserve">Value of the right</t>
  </si>
  <si>
    <t xml:space="preserve">Market price − issue price (Week 3 slide 28 — the module's definition).</t>
  </si>
  <si>
    <t xml:space="preserve">TERP</t>
  </si>
  <si>
    <t xml:space="preserve">(N × cum-rights price + issue price) ÷ (N + 1), N = existing shares per new share (slide 34).</t>
  </si>
  <si>
    <t xml:space="preserve">Nil-paid right</t>
  </si>
  <si>
    <t xml:space="preserve">TERP − issue price (the textbook value, shown as a cross-check).</t>
  </si>
  <si>
    <t xml:space="preserve">Share premium</t>
  </si>
  <si>
    <t xml:space="preserve">(Issue price − nominal value) × new shares (slide 28), less issue costs (Companies Act 2006 s.610(2)).</t>
  </si>
  <si>
    <t xml:space="preserve">Book value per share</t>
  </si>
  <si>
    <t xml:space="preserve">Ordinary shareholders' funds ÷ ordinary shares (slide 29). Preference shares excluded.</t>
  </si>
  <si>
    <t xml:space="preserve">Shares to issue</t>
  </si>
  <si>
    <t xml:space="preserve">(Net cash needed + £5M fees) ÷ issue price — the fees have to be raised too.</t>
  </si>
  <si>
    <t xml:space="preserve">Watch-outs</t>
  </si>
  <si>
    <t xml:space="preserve">Bank Rate</t>
  </si>
  <si>
    <t xml:space="preserve">3.75% (held 17 Sep 2026; next decision 5 Nov 2026, markets expect a rise). Re-check on bankofengland.co.uk before you submit.</t>
  </si>
  <si>
    <t xml:space="preserve">Bond coupon</t>
  </si>
  <si>
    <t xml:space="preserve">6% is an ESTIMATE for a BBB+ issuer (sterling IG index yield 5.71%, Aug 2026). Replace it with a live BBB yield.</t>
  </si>
  <si>
    <t xml:space="preserve">Tax rate</t>
  </si>
  <si>
    <t xml:space="preserve">25% (UK main rate, as in the NPV workings). Oil ring-fence profits are taxed more heavily — confirm the rate.</t>
  </si>
  <si>
    <t xml:space="preserve">EUR/GBP</t>
  </si>
  <si>
    <t xml:space="preserve">0.85 is a PLACEHOLDER. Replace it with the real-time rate and cite the source — 10% of marks are for real-time information.</t>
  </si>
  <si>
    <t xml:space="preserve">Threshold</t>
  </si>
  <si>
    <t xml:space="preserve">The 2026 brief says the value of the right must be over £1.00 (Week 3 slides said £1.50 for an older version of the case).</t>
  </si>
  <si>
    <t xml:space="preserve">TERP is theoretical. Slide 34: the real price depends on whether the market believes the investment will work.</t>
  </si>
  <si>
    <t xml:space="preserve">Debt mix</t>
  </si>
  <si>
    <t xml:space="preserve">If you set equity below 100%, the rest is shown as new debt, but loan/bond fees aren't modelled here.</t>
  </si>
  <si>
    <t xml:space="preserve">Report</t>
  </si>
  <si>
    <t xml:space="preserve">Don't list equity vs debt pros and cons — Week 3 says that scores zero. Use these numbers to justify ONE recommendation.</t>
  </si>
  <si>
    <t xml:space="preserve">AI use</t>
  </si>
  <si>
    <t xml:space="preserve">The brief is Tier Two: if you use GenAI, your report/slides must include an AI acknowledgement (tool, provider, URL, how used, free/paid).</t>
  </si>
  <si>
    <t xml:space="preserve">UK Oil Plc — Rights Issue Model: Inputs</t>
  </si>
  <si>
    <t xml:space="preserve">Every number from the 2026 Assessment Brief lives here. Change ONLY the yellow cells; every other tab recalculates.</t>
  </si>
  <si>
    <t xml:space="preserve">Input</t>
  </si>
  <si>
    <t xml:space="preserve">Value</t>
  </si>
  <si>
    <t xml:space="preserve">Unit</t>
  </si>
  <si>
    <t xml:space="preserve">Source / note</t>
  </si>
  <si>
    <t xml:space="preserve">UK Oil Plc — current capital structure (Assessment Brief: Company Background)</t>
  </si>
  <si>
    <t xml:space="preserve">£1 Ordinary share capital</t>
  </si>
  <si>
    <t xml:space="preserve">£M</t>
  </si>
  <si>
    <t xml:space="preserve">Brief: '£1 Ordinary Shares 1000' (£M).</t>
  </si>
  <si>
    <t xml:space="preserve">Nominal (face) value per ordinary share</t>
  </si>
  <si>
    <t xml:space="preserve">£</t>
  </si>
  <si>
    <t xml:space="preserve">Brief: '£1 Ordinary Shares'.</t>
  </si>
  <si>
    <t xml:space="preserve">Ordinary shares in issue</t>
  </si>
  <si>
    <t xml:space="preserve">M shares</t>
  </si>
  <si>
    <t xml:space="preserve">Share capital ÷ nominal value = 1,000M shares.</t>
  </si>
  <si>
    <t xml:space="preserve">Current market price per ordinary share (cum-rights)</t>
  </si>
  <si>
    <t xml:space="preserve">Brief: 'Current Market Price Per Ordinary Share: £3.50'.</t>
  </si>
  <si>
    <t xml:space="preserve">£1 6% Preference shares</t>
  </si>
  <si>
    <t xml:space="preserve">Brief.</t>
  </si>
  <si>
    <t xml:space="preserve">Retained profits</t>
  </si>
  <si>
    <t xml:space="preserve">Brief. Remember (Week 3): retained profit is NOT cash.</t>
  </si>
  <si>
    <t xml:space="preserve">Total equity</t>
  </si>
  <si>
    <t xml:space="preserve">Brief total: £1,925M.</t>
  </si>
  <si>
    <t xml:space="preserve">Unsecured 6% Bond 2027</t>
  </si>
  <si>
    <t xml:space="preserve">Brief says 2027 (Week 3 slides said 2025 — the brief is the official document).</t>
  </si>
  <si>
    <t xml:space="preserve">Secured loan (floating rate 7%)</t>
  </si>
  <si>
    <t xml:space="preserve">Total debt</t>
  </si>
  <si>
    <t xml:space="preserve">Brief total: £700M.</t>
  </si>
  <si>
    <t xml:space="preserve">Capital employed (equity + debt)</t>
  </si>
  <si>
    <t xml:space="preserve">Brief total: £2,625M.</t>
  </si>
  <si>
    <t xml:space="preserve">Rights issue terms (Assessment Brief: Financing the Project → Equity Finance)</t>
  </si>
  <si>
    <t xml:space="preserve">Issue price — BASE CASE (change me)</t>
  </si>
  <si>
    <t xml:space="preserve">Your choice inside the bank's range. £1.25 = top of range → fewest new shares, least dilution. Try £1.00, or use the Price Sensitivity tab.</t>
  </si>
  <si>
    <t xml:space="preserve">Bank's suggested issue price — low</t>
  </si>
  <si>
    <t xml:space="preserve">Brief: 'a share price in the region of £1 to £1.25 would result in a successful issue'.</t>
  </si>
  <si>
    <t xml:space="preserve">Bank's suggested issue price — high</t>
  </si>
  <si>
    <t xml:space="preserve">Brief (as above).</t>
  </si>
  <si>
    <t xml:space="preserve">Underwriting / issue fees (fixed, regardless of size)</t>
  </si>
  <si>
    <t xml:space="preserve">Brief: '£5 million, regardless of the size of the issue'.</t>
  </si>
  <si>
    <t xml:space="preserve">Value of the right must be OVER</t>
  </si>
  <si>
    <t xml:space="preserve">Brief, Option 2: 'a Rights Issue would attract support provided the value of the right is over £1.00'. Week 3 slides said £1.50 for an older 'Euro Refinery' version of the case — use the 2026 brief.</t>
  </si>
  <si>
    <t xml:space="preserve">Option 1 — North Sea reservoir: what needs funding</t>
  </si>
  <si>
    <t xml:space="preserve">Platform supplier chosen (British / Munchen)</t>
  </si>
  <si>
    <t xml:space="preserve">British</t>
  </si>
  <si>
    <t xml:space="preserve">text</t>
  </si>
  <si>
    <t xml:space="preserve">Activity J. Pick the supplier you recommend from the drop-down.</t>
  </si>
  <si>
    <t xml:space="preserve">British Oil Machinery quote</t>
  </si>
  <si>
    <t xml:space="preserve">Brief, Activity J.</t>
  </si>
  <si>
    <t xml:space="preserve">Munchen Machinery Germany quote</t>
  </si>
  <si>
    <t xml:space="preserve">€M</t>
  </si>
  <si>
    <t xml:space="preserve">Exchange rate: £ per €1</t>
  </si>
  <si>
    <t xml:space="preserve">£/€</t>
  </si>
  <si>
    <t xml:space="preserve">PLACEHOLDER — replace with today's EUR/GBP rate from the Bank of England and cite it (brief requires real-time rates).</t>
  </si>
  <si>
    <t xml:space="preserve">Munchen quote converted to £</t>
  </si>
  <si>
    <t xml:space="preserve">€ quote × £ per €.</t>
  </si>
  <si>
    <t xml:space="preserve">Platform cost used</t>
  </si>
  <si>
    <t xml:space="preserve">Follows the supplier choice above.</t>
  </si>
  <si>
    <t xml:space="preserve">Activity E: finalise bid &amp; pay bonds</t>
  </si>
  <si>
    <t xml:space="preserve">Brief: '£10 million'. The £20M geological study (Activity A) is sunk — excluded.</t>
  </si>
  <si>
    <t xml:space="preserve">Total Option 1 funding need</t>
  </si>
  <si>
    <t xml:space="preserve">Platform + bid costs.</t>
  </si>
  <si>
    <t xml:space="preserve">Share of Option 1 funded by the rights issue</t>
  </si>
  <si>
    <t xml:space="preserve">%</t>
  </si>
  <si>
    <t xml:space="preserve">100% = all-equity. Set e.g. 50% for a combination; the rest shows as new debt on the Balance Sheet tab (debt fees not modelled here).</t>
  </si>
  <si>
    <t xml:space="preserve">Option 2 — Acquisition of Arabic Oil Supplies (AOS)</t>
  </si>
  <si>
    <t xml:space="preserve">AOS ordinary shares in issue</t>
  </si>
  <si>
    <t xml:space="preserve">Brief: AOS share capital $250,000k of $1 shares = 250M shares.</t>
  </si>
  <si>
    <t xml:space="preserve">Offer price per AOS share</t>
  </si>
  <si>
    <t xml:space="preserve">Brief: 'An Acquisition of 80 – 100% ... at £1.30 per share'.</t>
  </si>
  <si>
    <t xml:space="preserve">Stake acquired — low case</t>
  </si>
  <si>
    <t xml:space="preserve">Brief: 80%.</t>
  </si>
  <si>
    <t xml:space="preserve">Stake acquired — high case</t>
  </si>
  <si>
    <t xml:space="preserve">Brief: 100%.</t>
  </si>
  <si>
    <t xml:space="preserve">Acquisition cost — 80% stake</t>
  </si>
  <si>
    <t xml:space="preserve">Shares × price × stake.</t>
  </si>
  <si>
    <t xml:space="preserve">Acquisition cost — 100% stake</t>
  </si>
  <si>
    <t xml:space="preserve">Share of Option 2 funded by the rights issue</t>
  </si>
  <si>
    <t xml:space="preserve">Brief: financed by 'either a Rights Issue or Debt'.</t>
  </si>
  <si>
    <t xml:space="preserve">Debt finance (Assessment Brief: Bank Loan &amp; Bonds) + real-time rates</t>
  </si>
  <si>
    <t xml:space="preserve">Bank of England Bank Rate (real-time)</t>
  </si>
  <si>
    <t xml:space="preserve">Held at 3.75% on 17 Sep 2026 (6–3 vote; 3 MPC members wanted 4%). Next decision 5 Nov 2026 and markets expect a rise. Source: bankofengland.co.uk — re-check before you submit.</t>
  </si>
  <si>
    <t xml:space="preserve">Sterling floating loan: margin over Bank Rate</t>
  </si>
  <si>
    <t xml:space="preserve">Brief: 'Base + 2.0% p.a.'</t>
  </si>
  <si>
    <t xml:space="preserve">Sterling fixed loan rate (fixed for 5 years only)</t>
  </si>
  <si>
    <t xml:space="preserve">Brief: 'Fixed 7.0% p.a. for 5 years at a fee of £1 million'.</t>
  </si>
  <si>
    <t xml:space="preserve">Extra rate charged for higher gearing (test lever)</t>
  </si>
  <si>
    <t xml:space="preserve">Week 3 slide 62: new debt at higher gearing 'may well be at higher rates'. Try 0.5%–1.0% to test it.</t>
  </si>
  <si>
    <t xml:space="preserve">Bond coupon needed for a BBB+ issuer (ESTIMATE)</t>
  </si>
  <si>
    <t xml:space="preserve">ESTIMATE: sterling investment-grade corporate index yield 5.71% (31 Aug 2026, SPDR Bloomberg Sterling Corporate Bond ETF). BBB+ sits at the weaker end and a 25-year bond costs more, so ~6%. Replace with a live BBB yield.</t>
  </si>
  <si>
    <t xml:space="preserve">Floating loan rate used</t>
  </si>
  <si>
    <t xml:space="preserve">Bank Rate + 2% (+ any gearing premium).</t>
  </si>
  <si>
    <t xml:space="preserve">Fixed loan rate used</t>
  </si>
  <si>
    <t xml:space="preserve">Currency loan rate used</t>
  </si>
  <si>
    <t xml:space="preserve">Brief: currency loans 'at similar rates'.</t>
  </si>
  <si>
    <t xml:space="preserve">Bond coupon used</t>
  </si>
  <si>
    <t xml:space="preserve">Bank security / arrangement fee — sterling loan</t>
  </si>
  <si>
    <t xml:space="preserve">Brief: '£3 million'.</t>
  </si>
  <si>
    <t xml:space="preserve">Extra fee to fix the loan rate</t>
  </si>
  <si>
    <t xml:space="preserve">Brief: 'a fee of £1 million'.</t>
  </si>
  <si>
    <t xml:space="preserve">Bank security / arrangement fee — currency loan</t>
  </si>
  <si>
    <t xml:space="preserve">Brief: '£3.25 million'.</t>
  </si>
  <si>
    <t xml:space="preserve">S&amp;P rating fee — bond</t>
  </si>
  <si>
    <t xml:space="preserve">Brief: '£5 million'.</t>
  </si>
  <si>
    <t xml:space="preserve">Underwriting fee — bond</t>
  </si>
  <si>
    <t xml:space="preserve">Brief: 'a further £5 million for underwriting'.</t>
  </si>
  <si>
    <t xml:space="preserve">Total fees — floating loan</t>
  </si>
  <si>
    <t xml:space="preserve">Total fees — fixed loan</t>
  </si>
  <si>
    <t xml:space="preserve">Total fees — currency loan</t>
  </si>
  <si>
    <t xml:space="preserve">Total fees — bond</t>
  </si>
  <si>
    <t xml:space="preserve">Loan term</t>
  </si>
  <si>
    <t xml:space="preserve">years</t>
  </si>
  <si>
    <t xml:space="preserve">Brief: 'a loan of 25 years'.</t>
  </si>
  <si>
    <t xml:space="preserve">Combination of equity &amp; debt (Finance Options tab)</t>
  </si>
  <si>
    <t xml:space="preserve">Strategic option shown on Finance Options (1 = Option 1, 2 = Option 2 80%, 3 = Option 2 100%)</t>
  </si>
  <si>
    <t xml:space="preserve">1/2/3</t>
  </si>
  <si>
    <t xml:space="preserve">Pick which funding need to compare finance methods for.</t>
  </si>
  <si>
    <t xml:space="preserve">Debt used in the combination</t>
  </si>
  <si>
    <t xml:space="preserve">Floating loan</t>
  </si>
  <si>
    <t xml:space="preserve">Pick: Floating loan / Fixed loan / Currency loan / Bond.</t>
  </si>
  <si>
    <t xml:space="preserve">Equity share of the combination</t>
  </si>
  <si>
    <t xml:space="preserve">50/50 to start. The Gearing Ladder on Finance Options shows every mix from 0% to 100% debt.</t>
  </si>
  <si>
    <t xml:space="preserve">Combination: debt rate</t>
  </si>
  <si>
    <t xml:space="preserve">Combination: debt fees</t>
  </si>
  <si>
    <t xml:space="preserve">Cost of equity, profit &amp; tax (Assessment Brief: Company Background)</t>
  </si>
  <si>
    <t xml:space="preserve">Ordinary dividend 3 years ago (% of £1 nominal)</t>
  </si>
  <si>
    <t xml:space="preserve">Ordinary dividend 2 years ago</t>
  </si>
  <si>
    <t xml:space="preserve">Ordinary dividend last year</t>
  </si>
  <si>
    <t xml:space="preserve">Last dividend per share D0</t>
  </si>
  <si>
    <t xml:space="preserve">6.5% of £1 = 6.5p.</t>
  </si>
  <si>
    <t xml:space="preserve">Dividend growth rate g</t>
  </si>
  <si>
    <t xml:space="preserve">Two years of growth, 5% → 6.5%.</t>
  </si>
  <si>
    <t xml:space="preserve">Next dividend D1 = D0 × (1 + g)</t>
  </si>
  <si>
    <t xml:space="preserve">Cost of equity Ke = D1 ÷ P0 + g</t>
  </si>
  <si>
    <t xml:space="preserve">Matches the WACC workings (16.14%).</t>
  </si>
  <si>
    <t xml:space="preserve">Profit before tax — last year</t>
  </si>
  <si>
    <t xml:space="preserve">Brief: '£500M ... expected to continue'.</t>
  </si>
  <si>
    <t xml:space="preserve">Existing bond coupon</t>
  </si>
  <si>
    <t xml:space="preserve">Brief: 'Unsecured 6% Bond 2027'.</t>
  </si>
  <si>
    <t xml:space="preserve">Existing floating loan rate per the brief</t>
  </si>
  <si>
    <t xml:space="preserve">Brief: 'Floating Rate 7%'.</t>
  </si>
  <si>
    <t xml:space="preserve">Existing floating loan: margin over Bank Rate</t>
  </si>
  <si>
    <t xml:space="preserve">Week 3 slide 62: Aug 2023 Base 5.25% + 1.75% margin = 7.00%.</t>
  </si>
  <si>
    <t xml:space="preserve">Interest on existing debt last year</t>
  </si>
  <si>
    <t xml:space="preserve">£30M bond + £14M loan.</t>
  </si>
  <si>
    <t xml:space="preserve">Profit before interest &amp; tax (PBT + last year's interest)</t>
  </si>
  <si>
    <t xml:space="preserve">Interest on existing debt at TODAY's Bank Rate</t>
  </si>
  <si>
    <t xml:space="preserve">Real-time update: the £200M floating loan now costs 3.75% + 1.75% = 5.50%, not 7%.</t>
  </si>
  <si>
    <t xml:space="preserve">Tax rate for interest relief</t>
  </si>
  <si>
    <t xml:space="preserve">25% = UK main corporation tax rate, as used in the NPV workings. Oil extraction profits face higher ring-fence rates — check (Week 2 homework).</t>
  </si>
  <si>
    <t xml:space="preserve">Shareholder used for the dilution analysis</t>
  </si>
  <si>
    <t xml:space="preserve">Example shareholder's stake before the issue</t>
  </si>
  <si>
    <t xml:space="preserve">5% mirrors the Week 3 lecture activity (slide 31).</t>
  </si>
  <si>
    <t xml:space="preserve">Rights Issue — three funding scenarios</t>
  </si>
  <si>
    <t xml:space="preserve">£M unless stated. Base-case issue price and funding mix come from the yellow cells on Inputs.</t>
  </si>
  <si>
    <t xml:space="preserve">Item</t>
  </si>
  <si>
    <t xml:space="preserve">Option 1: North Sea</t>
  </si>
  <si>
    <t xml:space="preserve">Option 2: Acquire 80%</t>
  </si>
  <si>
    <t xml:space="preserve">Option 2: Acquire 100%</t>
  </si>
  <si>
    <t xml:space="preserve">What it means</t>
  </si>
  <si>
    <t xml:space="preserve">A. How much do we need to raise?</t>
  </si>
  <si>
    <t xml:space="preserve">Total funding need</t>
  </si>
  <si>
    <t xml:space="preserve">Option 1 = platform + £10M bid costs. Option 2 = AOS shares × stake × £1.30.</t>
  </si>
  <si>
    <t xml:space="preserve">Share funded by the rights issue</t>
  </si>
  <si>
    <t xml:space="preserve">Change on Inputs to model a debt/equity combination.</t>
  </si>
  <si>
    <t xml:space="preserve">Net cash needed from the rights issue</t>
  </si>
  <si>
    <t xml:space="preserve">The money that actually has to reach the company.</t>
  </si>
  <si>
    <t xml:space="preserve">Add: underwriting / issue fees</t>
  </si>
  <si>
    <t xml:space="preserve">Fixed £5M whatever the size — so you must raise MORE than you need.</t>
  </si>
  <si>
    <t xml:space="preserve">Gross amount to raise</t>
  </si>
  <si>
    <t xml:space="preserve">Net need + fees.</t>
  </si>
  <si>
    <t xml:space="preserve">Issue price</t>
  </si>
  <si>
    <t xml:space="preserve">Base case from Inputs.</t>
  </si>
  <si>
    <t xml:space="preserve">New shares to issue</t>
  </si>
  <si>
    <t xml:space="preserve">Gross amount ÷ issue price.</t>
  </si>
  <si>
    <t xml:space="preserve">B. Rights terms — '1 new share for every N held'</t>
  </si>
  <si>
    <t xml:space="preserve">Existing ordinary shares</t>
  </si>
  <si>
    <t xml:space="preserve">N — existing shares needed to buy one new share</t>
  </si>
  <si>
    <t xml:space="preserve">x</t>
  </si>
  <si>
    <t xml:space="preserve">Week 3 slide 34: N = number of shares required to buy one new share.</t>
  </si>
  <si>
    <t xml:space="preserve">Rights terms (exact)</t>
  </si>
  <si>
    <t xml:space="preserve">Real issues use whole-number ratios — see section C.</t>
  </si>
  <si>
    <t xml:space="preserve">Total shares after the issue</t>
  </si>
  <si>
    <t xml:space="preserve">New shares as % of enlarged share capital</t>
  </si>
  <si>
    <t xml:space="preserve">C. Practical whole-number terms (what you'd actually announce)</t>
  </si>
  <si>
    <t xml:space="preserve">Nearest whole-number N</t>
  </si>
  <si>
    <t xml:space="preserve">Announced terms</t>
  </si>
  <si>
    <t xml:space="preserve">New shares under these terms</t>
  </si>
  <si>
    <t xml:space="preserve">Gross cash at the base-case price</t>
  </si>
  <si>
    <t xml:space="preserve">Surplus / (shortfall) vs gross amount needed</t>
  </si>
  <si>
    <t xml:space="preserve">Negative = this whole-number ratio doesn't quite raise enough at the base-case price.</t>
  </si>
  <si>
    <t xml:space="preserve">Issue price that makes these terms raise exactly enough</t>
  </si>
  <si>
    <t xml:space="preserve">Compare with the bank's £1.00–£1.25 range.</t>
  </si>
  <si>
    <t xml:space="preserve">Is that price inside the bank's range?</t>
  </si>
  <si>
    <t xml:space="preserve">check</t>
  </si>
  <si>
    <t xml:space="preserve">D. Cash received &amp; how it's recorded</t>
  </si>
  <si>
    <t xml:space="preserve">Gross cash received</t>
  </si>
  <si>
    <t xml:space="preserve">Week 3 slide 28: new shares × issue price.</t>
  </si>
  <si>
    <t xml:space="preserve">Less: issue fees</t>
  </si>
  <si>
    <t xml:space="preserve">Net cash received</t>
  </si>
  <si>
    <t xml:space="preserve">Check: net cash = net need</t>
  </si>
  <si>
    <t xml:space="preserve">Increase in £1 ordinary share capital (nominal)</t>
  </si>
  <si>
    <t xml:space="preserve">Each new share adds its £1 face value to share capital.</t>
  </si>
  <si>
    <t xml:space="preserve">Share premium — gross</t>
  </si>
  <si>
    <t xml:space="preserve">Week 3 slide 28: (issue price − nominal value) × new shares.</t>
  </si>
  <si>
    <t xml:space="preserve">Less: issue costs written off to share premium</t>
  </si>
  <si>
    <t xml:space="preserve">Companies Act 2006 s.610(2) lets issue expenses be written off against share premium.</t>
  </si>
  <si>
    <t xml:space="preserve">Share premium — net</t>
  </si>
  <si>
    <t xml:space="preserve">Issue costs as % of gross proceeds</t>
  </si>
  <si>
    <t xml:space="preserve">Use when comparing the COST of equity vs debt finance (debt fees: £3M–£4M loan, £10M bond).</t>
  </si>
  <si>
    <t xml:space="preserve">E. Value of the right &amp; share price after the issue</t>
  </si>
  <si>
    <t xml:space="preserve">Market price per share (cum-rights)</t>
  </si>
  <si>
    <t xml:space="preserve">Discount of issue price to market price</t>
  </si>
  <si>
    <t xml:space="preserve">Deep discount = very likely to succeed, but more new shares needed.</t>
  </si>
  <si>
    <t xml:space="preserve">Value of the right — LECTURE definition (market − issue)</t>
  </si>
  <si>
    <t xml:space="preserve">Week 3 slide 28: £2.50 − £2.00 = £0.50. This is the module's definition.</t>
  </si>
  <si>
    <t xml:space="preserve">TERP: (N × cum-rights price + issue price) ÷ (N + 1)</t>
  </si>
  <si>
    <t xml:space="preserve">Week 3 slide 34. The theoretical share price once the shares trade ex-rights.</t>
  </si>
  <si>
    <t xml:space="preserve">TERP cross-check: (market cap + cash raised) ÷ total shares</t>
  </si>
  <si>
    <t xml:space="preserve">Same answer by a different route — proves the formula.</t>
  </si>
  <si>
    <t xml:space="preserve">Value of one nil-paid right — theoretical (TERP − issue)</t>
  </si>
  <si>
    <t xml:space="preserve">Textbook value of the right to buy ONE new share once the price has adjusted.</t>
  </si>
  <si>
    <t xml:space="preserve">Rights value attached to each existing share ((TERP − issue) ÷ N)</t>
  </si>
  <si>
    <t xml:space="preserve">What each share you already own 'carries' in rights.</t>
  </si>
  <si>
    <t xml:space="preserve">Brief's test: value of the right must be over</t>
  </si>
  <si>
    <t xml:space="preserve">Option 2 condition for shareholder support.</t>
  </si>
  <si>
    <t xml:space="preserve">Passes the test — lecture definition?</t>
  </si>
  <si>
    <t xml:space="preserve">Passes the test — theoretical nil-paid value?</t>
  </si>
  <si>
    <t xml:space="preserve">One line on this in the report shows you understand TERP, not just the slide shortcut.</t>
  </si>
  <si>
    <t xml:space="preserve">Market capitalisation before (cum-rights)</t>
  </si>
  <si>
    <t xml:space="preserve">Market capitalisation after (at TERP)</t>
  </si>
  <si>
    <t xml:space="preserve">Increase in market capitalisation</t>
  </si>
  <si>
    <t xml:space="preserve">Equals the gross cash raised. The issue itself creates no value — the PROJECT has to (Week 3 slide 34).</t>
  </si>
  <si>
    <t xml:space="preserve">Finance Options — Equity, Debt or a Combination? (Week 3 slides 52–62)</t>
  </si>
  <si>
    <t xml:space="preserve">Same funding need, six ways to raise it. £M unless stated. Change the option, debt type and mix in the yellow cells on Inputs.</t>
  </si>
  <si>
    <t xml:space="preserve">100% Equity: rights issue</t>
  </si>
  <si>
    <t xml:space="preserve">100% Debt: floating loan</t>
  </si>
  <si>
    <t xml:space="preserve">100% Debt: fixed loan</t>
  </si>
  <si>
    <t xml:space="preserve">100% Debt: currency loan</t>
  </si>
  <si>
    <t xml:space="preserve">100% Debt: bond</t>
  </si>
  <si>
    <t xml:space="preserve">Combination</t>
  </si>
  <si>
    <t xml:space="preserve">A. Raising the money</t>
  </si>
  <si>
    <t xml:space="preserve">Funding need for the selected option</t>
  </si>
  <si>
    <t xml:space="preserve">Option picked on Inputs (1 = North Sea, 2 = AOS 80%, 3 = AOS 100%).</t>
  </si>
  <si>
    <t xml:space="preserve">Share raised as equity</t>
  </si>
  <si>
    <t xml:space="preserve">Equity raised (net)</t>
  </si>
  <si>
    <t xml:space="preserve">Debt raised (net)</t>
  </si>
  <si>
    <t xml:space="preserve">Equity issue fees</t>
  </si>
  <si>
    <t xml:space="preserve">£5M underwriting, whatever the size.</t>
  </si>
  <si>
    <t xml:space="preserve">Debt fees</t>
  </si>
  <si>
    <t xml:space="preserve">Loan £3M (+£1M to fix) · currency loan £3.25M · bond £10M.</t>
  </si>
  <si>
    <t xml:space="preserve">Total upfront fees</t>
  </si>
  <si>
    <t xml:space="preserve">A combination pays BOTH sets of fixed fees.</t>
  </si>
  <si>
    <t xml:space="preserve">Gross equity to raise (incl. fees)</t>
  </si>
  <si>
    <t xml:space="preserve">Gross debt to borrow (incl. fees)</t>
  </si>
  <si>
    <t xml:space="preserve">Fees are borrowed too.</t>
  </si>
  <si>
    <t xml:space="preserve">New shares issued at the base-case price</t>
  </si>
  <si>
    <t xml:space="preserve">Fees as % of money raised</t>
  </si>
  <si>
    <t xml:space="preserve">B. Cost of finance — which is cheaper, equity or debt? (slide 53)</t>
  </si>
  <si>
    <t xml:space="preserve">Cost of equity Ke (dividend growth model)</t>
  </si>
  <si>
    <t xml:space="preserve">What shareholders expect: D1 ÷ P0 + g.</t>
  </si>
  <si>
    <t xml:space="preserve">Pre-tax interest rate on the new debt</t>
  </si>
  <si>
    <t xml:space="preserve">Floating = Bank Rate 3.75% + 2%. Fixed = 7% for 5 years only.</t>
  </si>
  <si>
    <t xml:space="preserve">After-tax cost of debt Kd × (1 − t)</t>
  </si>
  <si>
    <t xml:space="preserve">Interest is tax-deductible; dividends are not.</t>
  </si>
  <si>
    <t xml:space="preserve">Weighted cost of the new money</t>
  </si>
  <si>
    <t xml:space="preserve">Lower = cheaper. Ignores the extra return shareholders demand as gearing rises.</t>
  </si>
  <si>
    <t xml:space="preserve">Year-1 dividends on the new shares</t>
  </si>
  <si>
    <t xml:space="preserve">And growing at g a year — shares are permanent (slide 59).</t>
  </si>
  <si>
    <t xml:space="preserve">Year-1 interest on the new debt</t>
  </si>
  <si>
    <t xml:space="preserve">Less: tax relief on interest</t>
  </si>
  <si>
    <t xml:space="preserve">Year-1 cash cost after tax</t>
  </si>
  <si>
    <t xml:space="preserve">C. Level of gearing / leverage (slides 60–61)</t>
  </si>
  <si>
    <t xml:space="preserve">Total equity after</t>
  </si>
  <si>
    <t xml:space="preserve">Today £1,925M. Equity fees are written off to share premium.</t>
  </si>
  <si>
    <t xml:space="preserve">Total debt after</t>
  </si>
  <si>
    <t xml:space="preserve">Today £700M.</t>
  </si>
  <si>
    <t xml:space="preserve">Gearing — debt ÷ equity</t>
  </si>
  <si>
    <t xml:space="preserve">Today 36.4%.</t>
  </si>
  <si>
    <t xml:space="preserve">Gearing — debt ÷ (debt + equity)</t>
  </si>
  <si>
    <t xml:space="preserve">Today 26.7%.</t>
  </si>
  <si>
    <t xml:space="preserve">Change in debt ÷ equity vs today</t>
  </si>
  <si>
    <t xml:space="preserve">D. Burden of debt — high gearing will cost more (slide 62)</t>
  </si>
  <si>
    <t xml:space="preserve">Interest on existing debt at today's Bank Rate</t>
  </si>
  <si>
    <t xml:space="preserve">£500M bond at 6% + £200M loan at 5.50%.</t>
  </si>
  <si>
    <t xml:space="preserve">Total annual interest after</t>
  </si>
  <si>
    <t xml:space="preserve">Profit before interest &amp; tax (last year)</t>
  </si>
  <si>
    <t xml:space="preserve">£500M PBT + £44M interest.</t>
  </si>
  <si>
    <t xml:space="preserve">Interest cover (times)</t>
  </si>
  <si>
    <t xml:space="preserve">Before the new project earns a penny. Option 1 has ~3 years of construction with no revenue.</t>
  </si>
  <si>
    <t xml:space="preserve">Must the money be repaid?</t>
  </si>
  <si>
    <t xml:space="preserve">No — shareholders are permanent</t>
  </si>
  <si>
    <t xml:space="preserve">Yes — over 25 years</t>
  </si>
  <si>
    <t xml:space="preserve">Yes — in the foreign currency</t>
  </si>
  <si>
    <t xml:space="preserve">Yes — at maturity</t>
  </si>
  <si>
    <t xml:space="preserve">Yes, the debt part</t>
  </si>
  <si>
    <t xml:space="preserve">E. Other risks</t>
  </si>
  <si>
    <t xml:space="preserve">Dilutes existing shareholders?</t>
  </si>
  <si>
    <t xml:space="preserve">Yes — unless they take up their rights</t>
  </si>
  <si>
    <t xml:space="preserve">No</t>
  </si>
  <si>
    <t xml:space="preserve">Partly</t>
  </si>
  <si>
    <t xml:space="preserve">Interest-rate risk?</t>
  </si>
  <si>
    <t xml:space="preserve">Yes — moves with Bank Rate (a rise is expected)</t>
  </si>
  <si>
    <t xml:space="preserve">Fixed for 5 years only, then floating</t>
  </si>
  <si>
    <t xml:space="preserve">Yes — moves with that currency's rates</t>
  </si>
  <si>
    <t xml:space="preserve">No — fixed coupon</t>
  </si>
  <si>
    <t xml:space="preserve">Depends on the debt chosen</t>
  </si>
  <si>
    <t xml:space="preserve">Currency (FX) risk?</t>
  </si>
  <si>
    <t xml:space="preserve">Yes — but oil sells in US$, so a $ loan can hedge $ revenue</t>
  </si>
  <si>
    <t xml:space="preserve">No (sterling bond)</t>
  </si>
  <si>
    <t xml:space="preserve">Week 3: borrowing in $ only makes sense if it matches $ you'll earn or owe.</t>
  </si>
  <si>
    <t xml:space="preserve">Security / charge on assets?</t>
  </si>
  <si>
    <t xml:space="preserve">None</t>
  </si>
  <si>
    <t xml:space="preserve">Yes — bank requires security</t>
  </si>
  <si>
    <t xml:space="preserve">Rated BBB+ by S&amp;P</t>
  </si>
  <si>
    <t xml:space="preserve">Yes, if the debt is a loan</t>
  </si>
  <si>
    <t xml:space="preserve">F. Gearing ladder — every mix of equity and the combination debt type (Inputs: 'Debt used in the combination')</t>
  </si>
  <si>
    <t xml:space="preserve">Debt share of funding</t>
  </si>
  <si>
    <t xml:space="preserve">Gross debt incl. fees</t>
  </si>
  <si>
    <t xml:space="preserve">Upfront fees</t>
  </si>
  <si>
    <t xml:space="preserve">New shares (M)</t>
  </si>
  <si>
    <t xml:space="preserve">Debt ÷ equity</t>
  </si>
  <si>
    <t xml:space="preserve">Interest cover (x)</t>
  </si>
  <si>
    <t xml:space="preserve">Weighted cost of new money</t>
  </si>
  <si>
    <t xml:space="preserve">5% holder's stake if no take-up</t>
  </si>
  <si>
    <t xml:space="preserve">Read across: more debt = less dilution and a cheaper weighted cost on paper, but higher gearing and thinner interest cover — which is exactly why slide 62 warns the NEXT pound of debt costs more.</t>
  </si>
  <si>
    <t xml:space="preserve">G. Chart data — equity vs debt after each method (slide 61)</t>
  </si>
  <si>
    <t xml:space="preserve">Structure</t>
  </si>
  <si>
    <t xml:space="preserve">Equity (£M)</t>
  </si>
  <si>
    <t xml:space="preserve">Debt (£M)</t>
  </si>
  <si>
    <t xml:space="preserve">Today</t>
  </si>
  <si>
    <t xml:space="preserve">100% Equity</t>
  </si>
  <si>
    <t xml:space="preserve">Fixed loan</t>
  </si>
  <si>
    <t xml:space="preserve">Currency loan</t>
  </si>
  <si>
    <t xml:space="preserve">Bond</t>
  </si>
  <si>
    <t xml:space="preserve">Balance Sheet — before and after the rights issue</t>
  </si>
  <si>
    <t xml:space="preserve">Financing side of UK Oil's statement of financial position (£M). Week 3 slide 29 method.</t>
  </si>
  <si>
    <t xml:space="preserve">Item (£M unless stated)</t>
  </si>
  <si>
    <t xml:space="preserve">Before</t>
  </si>
  <si>
    <t xml:space="preserve">After: Option 1</t>
  </si>
  <si>
    <t xml:space="preserve">After: Option 2 (80%)</t>
  </si>
  <si>
    <t xml:space="preserve">After: Option 2 (100%)</t>
  </si>
  <si>
    <t xml:space="preserve">Equity</t>
  </si>
  <si>
    <t xml:space="preserve">Share premium (net of issue costs)</t>
  </si>
  <si>
    <t xml:space="preserve">The brief lists no existing share premium, so 'Before' is 0.</t>
  </si>
  <si>
    <t xml:space="preserve">Unchanged — a rights issue doesn't touch retained profit.</t>
  </si>
  <si>
    <t xml:space="preserve">Ordinary shareholders' funds</t>
  </si>
  <si>
    <t xml:space="preserve">Before = £1,925M per the brief.</t>
  </si>
  <si>
    <t xml:space="preserve">Debt</t>
  </si>
  <si>
    <t xml:space="preserve">Secured loan (floating 7%)</t>
  </si>
  <si>
    <t xml:space="preserve">New debt for any funding NOT raised by the rights issue</t>
  </si>
  <si>
    <t xml:space="preserve">Zero while the Inputs equity share is 100%.</t>
  </si>
  <si>
    <t xml:space="preserve">Before = £2,625M per the brief.</t>
  </si>
  <si>
    <t xml:space="preserve">Check: increase in capital employed = funding need</t>
  </si>
  <si>
    <t xml:space="preserve">Per share &amp; gearing</t>
  </si>
  <si>
    <t xml:space="preserve">Ordinary shares in issue (M)</t>
  </si>
  <si>
    <t xml:space="preserve">Book value per ordinary share (£)</t>
  </si>
  <si>
    <t xml:space="preserve">Ordinary shareholders' funds ÷ shares. Preference shares excluded — they belong to preference holders.</t>
  </si>
  <si>
    <t xml:space="preserve">Change in book value per share vs before (£)</t>
  </si>
  <si>
    <t xml:space="preserve">Falls if the issue price is below the existing book value per share.</t>
  </si>
  <si>
    <t xml:space="preserve">Week 3: lower gearing → lower perceived risk → cheaper future borrowing.</t>
  </si>
  <si>
    <t xml:space="preserve">Dilution — what happens to an existing shareholder</t>
  </si>
  <si>
    <t xml:space="preserve">Week 3 slides 30–33: take up, sell ('renounce'), or do nothing. £M unless stated.</t>
  </si>
  <si>
    <t xml:space="preserve">The shareholder</t>
  </si>
  <si>
    <t xml:space="preserve">Stake before the issue</t>
  </si>
  <si>
    <t xml:space="preserve">Set on Inputs (5% = the lecture activity).</t>
  </si>
  <si>
    <t xml:space="preserve">Shares held before</t>
  </si>
  <si>
    <t xml:space="preserve">Rights entitlement (new shares they may buy)</t>
  </si>
  <si>
    <t xml:space="preserve">Shares held ÷ N.</t>
  </si>
  <si>
    <t xml:space="preserve">Cost to take up all the rights</t>
  </si>
  <si>
    <t xml:space="preserve">Slide 32: can they afford it?</t>
  </si>
  <si>
    <t xml:space="preserve">Ownership after the issue</t>
  </si>
  <si>
    <t xml:space="preserve">Stake if rights are TAKEN UP</t>
  </si>
  <si>
    <t xml:space="preserve">Unchanged — no dilution.</t>
  </si>
  <si>
    <t xml:space="preserve">Stake if rights are NOT taken up</t>
  </si>
  <si>
    <t xml:space="preserve">Slide 33: same shares, bigger pie.</t>
  </si>
  <si>
    <t xml:space="preserve">Dilution if not taken up (percentage points)</t>
  </si>
  <si>
    <t xml:space="preserve">Wealth — market value at TERP (the three choices on slide 30)</t>
  </si>
  <si>
    <t xml:space="preserve">Value of holding before (cum-rights)</t>
  </si>
  <si>
    <t xml:space="preserve">A. Take up — value of all shares after</t>
  </si>
  <si>
    <t xml:space="preserve">A. Take up — less cash paid in</t>
  </si>
  <si>
    <t xml:space="preserve">A. Take up — NET WEALTH</t>
  </si>
  <si>
    <t xml:space="preserve">Same as before: wealth-neutral, stake protected.</t>
  </si>
  <si>
    <t xml:space="preserve">B. Sell rights — value of shares kept</t>
  </si>
  <si>
    <t xml:space="preserve">B. Sell rights — plus cash from selling the rights</t>
  </si>
  <si>
    <t xml:space="preserve">Rights sold at their theoretical nil-paid value.</t>
  </si>
  <si>
    <t xml:space="preserve">B. Sell rights — NET WEALTH</t>
  </si>
  <si>
    <t xml:space="preserve">Same as before in £, but the stake is diluted.</t>
  </si>
  <si>
    <t xml:space="preserve">C. Do nothing &amp; rights lapse unsold — NET WEALTH</t>
  </si>
  <si>
    <t xml:space="preserve">C. Wealth lost by doing nothing</t>
  </si>
  <si>
    <t xml:space="preserve">Slide 30: under Stock Exchange rules lapsed rights are normally sold on your behalf, so in practice C ≈ B.</t>
  </si>
  <si>
    <t xml:space="preserve">Book value of the holding (slide 33 method)</t>
  </si>
  <si>
    <t xml:space="preserve">Before: shares held × book value per share</t>
  </si>
  <si>
    <t xml:space="preserve">After — rights taken up</t>
  </si>
  <si>
    <t xml:space="preserve">After — rights not taken up</t>
  </si>
  <si>
    <t xml:space="preserve">Price Sensitivity — issue price from £1.00 upwards</t>
  </si>
  <si>
    <t xml:space="preserve">Pick a scenario in the yellow cell. Prices in blue can be overwritten.</t>
  </si>
  <si>
    <t xml:space="preserve">Scenario to test (1 = Option 1, 2 = Option 2 80%, 3 = Option 2 100%)</t>
  </si>
  <si>
    <t xml:space="preserve">Scenario</t>
  </si>
  <si>
    <t xml:space="preserve">Net cash needed from the rights issue (£M)</t>
  </si>
  <si>
    <t xml:space="preserve">Gross amount to raise incl. fees (£M)</t>
  </si>
  <si>
    <t xml:space="preserve">Existing ordinary shares (M)</t>
  </si>
  <si>
    <t xml:space="preserve">Market price cum-rights (£)</t>
  </si>
  <si>
    <t xml:space="preserve">Ordinary shareholders' funds before (£M)</t>
  </si>
  <si>
    <t xml:space="preserve">Value of the right must be over (£)</t>
  </si>
  <si>
    <t xml:space="preserve">Example shareholder's stake before</t>
  </si>
  <si>
    <t xml:space="preserve">Issue price (£)</t>
  </si>
  <si>
    <t xml:space="preserve">In bank's range?</t>
  </si>
  <si>
    <t xml:space="preserve">N</t>
  </si>
  <si>
    <t xml:space="preserve">Rights terms</t>
  </si>
  <si>
    <t xml:space="preserve">TERP (£)</t>
  </si>
  <si>
    <t xml:space="preserve">Value of right — lecture (£)</t>
  </si>
  <si>
    <t xml:space="preserve">Value of nil-paid right (£)</t>
  </si>
  <si>
    <t xml:space="preserve">Passes test — lecture?</t>
  </si>
  <si>
    <t xml:space="preserve">Passes test — theoretical?</t>
  </si>
  <si>
    <t xml:space="preserve">Book value per share after (£)</t>
  </si>
  <si>
    <t xml:space="preserve">Stake if rights not taken up</t>
  </si>
  <si>
    <t xml:space="preserve">Rows below the line are OUTSIDE the bank's £1.00–£1.25 range — shown only to find where the 'value of the right over £1.00' test starts to fail.</t>
  </si>
  <si>
    <t xml:space="preserve">Week 3 lecture example — proof the method works</t>
  </si>
  <si>
    <t xml:space="preserve">Slides 27–34: 500,000 £1 shares, 1-for-5 rights issue at £2, market price £2.50. Same formulas as the UK Oil tabs.</t>
  </si>
  <si>
    <t xml:space="preserve">Model</t>
  </si>
  <si>
    <t xml:space="preserve">Slide answer</t>
  </si>
  <si>
    <t xml:space="preserve">Check</t>
  </si>
  <si>
    <t xml:space="preserve">Note</t>
  </si>
  <si>
    <t xml:space="preserve">Inputs from the slides</t>
  </si>
  <si>
    <t xml:space="preserve">Existing £1 ordinary shares</t>
  </si>
  <si>
    <t xml:space="preserve">Slide 27.</t>
  </si>
  <si>
    <t xml:space="preserve">Nominal value per share (£)</t>
  </si>
  <si>
    <t xml:space="preserve">Slide 28.</t>
  </si>
  <si>
    <t xml:space="preserve">Market price per share (£)</t>
  </si>
  <si>
    <t xml:space="preserve">N — '1 for N'</t>
  </si>
  <si>
    <t xml:space="preserve">1-for-5.</t>
  </si>
  <si>
    <t xml:space="preserve">Non-current assets (£)</t>
  </si>
  <si>
    <t xml:space="preserve">Current assets (£)</t>
  </si>
  <si>
    <t xml:space="preserve">Current liabilities (£)</t>
  </si>
  <si>
    <t xml:space="preserve">Non-current liabilities (£)</t>
  </si>
  <si>
    <t xml:space="preserve">Retained profit (£)</t>
  </si>
  <si>
    <t xml:space="preserve">Shareholder's stake</t>
  </si>
  <si>
    <t xml:space="preserve">Slide 31.</t>
  </si>
  <si>
    <t xml:space="preserve">The company</t>
  </si>
  <si>
    <t xml:space="preserve">New shares</t>
  </si>
  <si>
    <t xml:space="preserve">Total shares after</t>
  </si>
  <si>
    <t xml:space="preserve">Value of the right (market − issue) (£)</t>
  </si>
  <si>
    <t xml:space="preserve">Cash received (£)</t>
  </si>
  <si>
    <t xml:space="preserve">Increase in share capital (£)</t>
  </si>
  <si>
    <t xml:space="preserve">Slide 29.</t>
  </si>
  <si>
    <t xml:space="preserve">Share premium (£)</t>
  </si>
  <si>
    <t xml:space="preserve">Net assets before (£)</t>
  </si>
  <si>
    <t xml:space="preserve">Equity before: share capital + retained profit (£)</t>
  </si>
  <si>
    <t xml:space="preserve">Must equal net assets.</t>
  </si>
  <si>
    <t xml:space="preserve">Book value per share before (£)</t>
  </si>
  <si>
    <t xml:space="preserve">Net assets after: before + cash (£)</t>
  </si>
  <si>
    <t xml:space="preserve">Equity after: share capital + premium + retained profit (£)</t>
  </si>
  <si>
    <t xml:space="preserve">TERP: (N × cum-rights price + issue price) ÷ (N + 1) (£)</t>
  </si>
  <si>
    <t xml:space="preserve">Slide 34 gives only the formula.</t>
  </si>
  <si>
    <t xml:space="preserve">Shares held</t>
  </si>
  <si>
    <t xml:space="preserve">Rights entitlement (new shares)</t>
  </si>
  <si>
    <t xml:space="preserve">Cost to take up (£)</t>
  </si>
  <si>
    <t xml:space="preserve">Slide 32.</t>
  </si>
  <si>
    <t xml:space="preserve">Book value of holding before (£)</t>
  </si>
  <si>
    <t xml:space="preserve">Slide 33.</t>
  </si>
  <si>
    <t xml:space="preserve">Book value of holding after, rights taken up (£)</t>
  </si>
  <si>
    <t xml:space="preserve">Slide 33 shows 4.16% (it truncates 4.1667%).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</si>
</sst>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;\(#,##0.0\);\-"/>
    <numFmt numFmtId="166" formatCode="\£#,##0.00;&quot;(£&quot;#,##0.00\);\-"/>
    <numFmt numFmtId="167" formatCode="0.0000"/>
    <numFmt numFmtId="168" formatCode="0.00%;\(0.00%\);\-"/>
    <numFmt numFmtId="169" formatCode="0"/>
    <numFmt numFmtId="170" formatCode="\£0.0000"/>
    <numFmt numFmtId="171" formatCode="0.00\x;\(0.00&quot;x)&quot;;\-"/>
    <numFmt numFmtId="172" formatCode="0\x;\(0&quot;x)&quot;;\-"/>
    <numFmt numFmtId="173" formatCode="0%"/>
    <numFmt numFmtId="174" formatCode="#,##0;\(#,##0\);\-"/>
    <numFmt numFmtId="175" formatCode="\£#,##0;&quot;(£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A6A6A6"/>
      </top>
      <bottom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vs debt after each finance method (£M)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'Finance Options'!B67</c:f>
              <c:strCache>
                <c:ptCount val="1"/>
                <c:pt idx="0">
                  <c:v>Equity (£M)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'Finance Options'!$A$68:$A$74</c:f>
              <c:strCache>
                <c:ptCount val="7"/>
                <c:pt idx="0">
                  <c:v>Today</c:v>
                </c:pt>
                <c:pt idx="1">
                  <c:v>100% Equity</c:v>
                </c:pt>
                <c:pt idx="2">
                  <c:v>Floating loan</c:v>
                </c:pt>
                <c:pt idx="3">
                  <c:v>Fixed loan</c:v>
                </c:pt>
                <c:pt idx="4">
                  <c:v>Currency loan</c:v>
                </c:pt>
                <c:pt idx="5">
                  <c:v>Bond</c:v>
                </c:pt>
                <c:pt idx="6">
                  <c:v>Combination</c:v>
                </c:pt>
              </c:strCache>
            </c:strRef>
          </c:cat>
          <c:val>
            <c:numRef>
              <c:f>'Finance Options'!$B$68:$B$74</c:f>
              <c:numCache>
                <c:formatCode>#,##0.0;\(#,##0.0\);\-</c:formatCode>
                <c:ptCount val="7"/>
                <c:pt idx="0">
                  <c:v>1925</c:v>
                </c:pt>
                <c:pt idx="1">
                  <c:v>2235</c:v>
                </c:pt>
                <c:pt idx="2">
                  <c:v>1925</c:v>
                </c:pt>
                <c:pt idx="3">
                  <c:v>1925</c:v>
                </c:pt>
                <c:pt idx="4">
                  <c:v>1925</c:v>
                </c:pt>
                <c:pt idx="5">
                  <c:v>1925</c:v>
                </c:pt>
                <c:pt idx="6">
                  <c:v>2080</c:v>
                </c:pt>
              </c:numCache>
            </c:numRef>
          </c:val>
        </c:ser>
        <c:ser>
          <c:idx val="1"/>
          <c:order val="1"/>
          <c:tx>
            <c:strRef>
              <c:f>'Finance Options'!C67</c:f>
              <c:strCache>
                <c:ptCount val="1"/>
                <c:pt idx="0">
                  <c:v>Debt (£M)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'Finance Options'!$A$68:$A$74</c:f>
              <c:strCache>
                <c:ptCount val="7"/>
                <c:pt idx="0">
                  <c:v>Today</c:v>
                </c:pt>
                <c:pt idx="1">
                  <c:v>100% Equity</c:v>
                </c:pt>
                <c:pt idx="2">
                  <c:v>Floating loan</c:v>
                </c:pt>
                <c:pt idx="3">
                  <c:v>Fixed loan</c:v>
                </c:pt>
                <c:pt idx="4">
                  <c:v>Currency loan</c:v>
                </c:pt>
                <c:pt idx="5">
                  <c:v>Bond</c:v>
                </c:pt>
                <c:pt idx="6">
                  <c:v>Combination</c:v>
                </c:pt>
              </c:strCache>
            </c:strRef>
          </c:cat>
          <c:val>
            <c:numRef>
              <c:f>'Finance Options'!$C$68:$C$74</c:f>
              <c:numCache>
                <c:formatCode>#,##0.0;\(#,##0.0\);\-</c:formatCode>
                <c:ptCount val="7"/>
                <c:pt idx="0">
                  <c:v>700</c:v>
                </c:pt>
                <c:pt idx="1">
                  <c:v>700</c:v>
                </c:pt>
                <c:pt idx="2">
                  <c:v>1013</c:v>
                </c:pt>
                <c:pt idx="3">
                  <c:v>1014</c:v>
                </c:pt>
                <c:pt idx="4">
                  <c:v>1013.25</c:v>
                </c:pt>
                <c:pt idx="5">
                  <c:v>1020</c:v>
                </c:pt>
                <c:pt idx="6">
                  <c:v>858</c:v>
                </c:pt>
              </c:numCache>
            </c:numRef>
          </c:val>
        </c:ser>
        <c:gapWidth val="150"/>
        <c:overlap val="100"/>
        <c:axId val="88288594"/>
        <c:axId val="19524011"/>
      </c:barChart>
      <c:catAx>
        <c:axId val="882885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24011"/>
        <c:crosses val="autoZero"/>
        <c:auto val="1"/>
        <c:lblAlgn val="ctr"/>
        <c:lblOffset val="100"/>
        <c:noMultiLvlLbl val="0"/>
      </c:catAx>
      <c:valAx>
        <c:axId val="19524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88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64</xdr:row>
      <xdr:rowOff>31680</xdr:rowOff>
    </xdr:from>
    <xdr:to>
      <xdr:col>7</xdr:col>
      <xdr:colOff>1163520</xdr:colOff>
      <xdr:row>81</xdr:row>
      <xdr:rowOff>32760</xdr:rowOff>
    </xdr:to>
    <xdr:graphicFrame>
      <xdr:nvGraphicFramePr>
        <xdr:cNvPr id="0" name="Chart 1"/>
        <xdr:cNvGraphicFramePr/>
      </xdr:nvGraphicFramePr>
      <xdr:xfrm>
        <a:off x="6934320" y="145256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23.85" hidden="false" customHeight="false" outlineLevel="0" collapsed="false">
      <c r="A6" s="5"/>
      <c r="B6" s="6" t="s">
        <v>3</v>
      </c>
    </row>
    <row r="8" customFormat="false" ht="15" hidden="false" customHeight="false" outlineLevel="0" collapsed="false">
      <c r="A8" s="3" t="s">
        <v>4</v>
      </c>
      <c r="B8" s="4"/>
    </row>
    <row r="9" customFormat="false" ht="15" hidden="false" customHeight="false" outlineLevel="0" collapsed="false">
      <c r="A9" s="5" t="s">
        <v>5</v>
      </c>
      <c r="B9" s="6" t="s">
        <v>6</v>
      </c>
    </row>
    <row r="10" customFormat="false" ht="15" hidden="false" customHeight="false" outlineLevel="0" collapsed="false">
      <c r="A10" s="5" t="s">
        <v>7</v>
      </c>
      <c r="B10" s="6" t="s">
        <v>8</v>
      </c>
    </row>
    <row r="11" customFormat="false" ht="15" hidden="false" customHeight="false" outlineLevel="0" collapsed="false">
      <c r="A11" s="5" t="s">
        <v>9</v>
      </c>
      <c r="B11" s="6" t="s">
        <v>10</v>
      </c>
    </row>
    <row r="12" customFormat="false" ht="23.85" hidden="false" customHeight="false" outlineLevel="0" collapsed="false">
      <c r="A12" s="5" t="s">
        <v>11</v>
      </c>
      <c r="B12" s="6" t="s">
        <v>12</v>
      </c>
    </row>
    <row r="13" customFormat="false" ht="15" hidden="false" customHeight="false" outlineLevel="0" collapsed="false">
      <c r="A13" s="5" t="s">
        <v>13</v>
      </c>
      <c r="B13" s="6" t="s">
        <v>14</v>
      </c>
    </row>
    <row r="15" customFormat="false" ht="15" hidden="false" customHeight="false" outlineLevel="0" collapsed="false">
      <c r="A15" s="3" t="s">
        <v>15</v>
      </c>
      <c r="B15" s="4"/>
    </row>
    <row r="16" customFormat="false" ht="15" hidden="false" customHeight="false" outlineLevel="0" collapsed="false">
      <c r="A16" s="7" t="s">
        <v>16</v>
      </c>
      <c r="B16" s="6" t="s">
        <v>17</v>
      </c>
    </row>
    <row r="17" customFormat="false" ht="15" hidden="false" customHeight="false" outlineLevel="0" collapsed="false">
      <c r="A17" s="8" t="s">
        <v>16</v>
      </c>
      <c r="B17" s="6" t="s">
        <v>18</v>
      </c>
    </row>
    <row r="18" customFormat="false" ht="15" hidden="false" customHeight="false" outlineLevel="0" collapsed="false">
      <c r="A18" s="9" t="s">
        <v>16</v>
      </c>
      <c r="B18" s="6" t="s">
        <v>19</v>
      </c>
    </row>
    <row r="19" customFormat="false" ht="15" hidden="false" customHeight="false" outlineLevel="0" collapsed="false">
      <c r="A19" s="10" t="s">
        <v>16</v>
      </c>
      <c r="B19" s="6" t="s">
        <v>20</v>
      </c>
    </row>
    <row r="21" customFormat="false" ht="15" hidden="false" customHeight="false" outlineLevel="0" collapsed="false">
      <c r="A21" s="3" t="s">
        <v>21</v>
      </c>
      <c r="B21" s="4"/>
    </row>
    <row r="22" customFormat="false" ht="15" hidden="false" customHeight="false" outlineLevel="0" collapsed="false">
      <c r="A22" s="5" t="s">
        <v>22</v>
      </c>
      <c r="B22" s="6" t="s">
        <v>23</v>
      </c>
    </row>
    <row r="23" customFormat="false" ht="15" hidden="false" customHeight="false" outlineLevel="0" collapsed="false">
      <c r="A23" s="5" t="s">
        <v>24</v>
      </c>
      <c r="B23" s="6" t="s">
        <v>25</v>
      </c>
    </row>
    <row r="24" customFormat="false" ht="15" hidden="false" customHeight="false" outlineLevel="0" collapsed="false">
      <c r="A24" s="5" t="s">
        <v>26</v>
      </c>
      <c r="B24" s="6" t="s">
        <v>27</v>
      </c>
    </row>
    <row r="25" customFormat="false" ht="15" hidden="false" customHeight="false" outlineLevel="0" collapsed="false">
      <c r="A25" s="5" t="s">
        <v>28</v>
      </c>
      <c r="B25" s="6" t="s">
        <v>29</v>
      </c>
    </row>
    <row r="26" customFormat="false" ht="15" hidden="false" customHeight="false" outlineLevel="0" collapsed="false">
      <c r="A26" s="5" t="s">
        <v>30</v>
      </c>
      <c r="B26" s="6" t="s">
        <v>31</v>
      </c>
    </row>
    <row r="27" customFormat="false" ht="15" hidden="false" customHeight="false" outlineLevel="0" collapsed="false">
      <c r="A27" s="5" t="s">
        <v>32</v>
      </c>
      <c r="B27" s="6" t="s">
        <v>33</v>
      </c>
    </row>
    <row r="29" customFormat="false" ht="15" hidden="false" customHeight="false" outlineLevel="0" collapsed="false">
      <c r="A29" s="3" t="s">
        <v>34</v>
      </c>
      <c r="B29" s="4"/>
    </row>
    <row r="30" customFormat="false" ht="15" hidden="false" customHeight="false" outlineLevel="0" collapsed="false">
      <c r="A30" s="5" t="s">
        <v>35</v>
      </c>
      <c r="B30" s="6" t="s">
        <v>36</v>
      </c>
    </row>
    <row r="31" customFormat="false" ht="15" hidden="false" customHeight="false" outlineLevel="0" collapsed="false">
      <c r="A31" s="5" t="s">
        <v>37</v>
      </c>
      <c r="B31" s="6" t="s">
        <v>38</v>
      </c>
    </row>
    <row r="32" customFormat="false" ht="15" hidden="false" customHeight="false" outlineLevel="0" collapsed="false">
      <c r="A32" s="5" t="s">
        <v>39</v>
      </c>
      <c r="B32" s="6" t="s">
        <v>40</v>
      </c>
    </row>
    <row r="33" customFormat="false" ht="15" hidden="false" customHeight="false" outlineLevel="0" collapsed="false">
      <c r="A33" s="5" t="s">
        <v>41</v>
      </c>
      <c r="B33" s="6" t="s">
        <v>42</v>
      </c>
    </row>
    <row r="34" customFormat="false" ht="15" hidden="false" customHeight="false" outlineLevel="0" collapsed="false">
      <c r="A34" s="5" t="s">
        <v>43</v>
      </c>
      <c r="B34" s="6" t="s">
        <v>44</v>
      </c>
    </row>
    <row r="35" customFormat="false" ht="15" hidden="false" customHeight="false" outlineLevel="0" collapsed="false">
      <c r="A35" s="5" t="s">
        <v>24</v>
      </c>
      <c r="B35" s="6" t="s">
        <v>45</v>
      </c>
    </row>
    <row r="36" customFormat="false" ht="15" hidden="false" customHeight="false" outlineLevel="0" collapsed="false">
      <c r="A36" s="5" t="s">
        <v>46</v>
      </c>
      <c r="B36" s="6" t="s">
        <v>47</v>
      </c>
    </row>
    <row r="37" customFormat="false" ht="15" hidden="false" customHeight="false" outlineLevel="0" collapsed="false">
      <c r="A37" s="5" t="s">
        <v>48</v>
      </c>
      <c r="B37" s="6" t="s">
        <v>49</v>
      </c>
    </row>
    <row r="38" customFormat="false" ht="15" hidden="false" customHeight="false" outlineLevel="0" collapsed="false">
      <c r="A38" s="5" t="s">
        <v>50</v>
      </c>
      <c r="B38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2" t="s">
        <v>54</v>
      </c>
      <c r="B4" s="13" t="s">
        <v>55</v>
      </c>
      <c r="C4" s="13" t="s">
        <v>56</v>
      </c>
      <c r="D4" s="13" t="s">
        <v>57</v>
      </c>
    </row>
    <row r="5" customFormat="false" ht="15" hidden="false" customHeight="false" outlineLevel="0" collapsed="false">
      <c r="A5" s="14" t="s">
        <v>58</v>
      </c>
      <c r="B5" s="4"/>
      <c r="C5" s="4"/>
      <c r="D5" s="4"/>
    </row>
    <row r="6" customFormat="false" ht="15" hidden="false" customHeight="false" outlineLevel="0" collapsed="false">
      <c r="A6" s="8" t="s">
        <v>59</v>
      </c>
      <c r="B6" s="15" t="n">
        <v>1000</v>
      </c>
      <c r="C6" s="16" t="s">
        <v>60</v>
      </c>
      <c r="D6" s="17" t="s">
        <v>61</v>
      </c>
    </row>
    <row r="7" customFormat="false" ht="15" hidden="false" customHeight="false" outlineLevel="0" collapsed="false">
      <c r="A7" s="8" t="s">
        <v>62</v>
      </c>
      <c r="B7" s="18" t="n">
        <v>1</v>
      </c>
      <c r="C7" s="16" t="s">
        <v>63</v>
      </c>
      <c r="D7" s="17" t="s">
        <v>64</v>
      </c>
    </row>
    <row r="8" customFormat="false" ht="15" hidden="false" customHeight="false" outlineLevel="0" collapsed="false">
      <c r="A8" s="8" t="s">
        <v>65</v>
      </c>
      <c r="B8" s="19" t="n">
        <f aca="false">B6/B7</f>
        <v>1000</v>
      </c>
      <c r="C8" s="16" t="s">
        <v>66</v>
      </c>
      <c r="D8" s="17" t="s">
        <v>67</v>
      </c>
    </row>
    <row r="9" customFormat="false" ht="15" hidden="false" customHeight="false" outlineLevel="0" collapsed="false">
      <c r="A9" s="8" t="s">
        <v>68</v>
      </c>
      <c r="B9" s="18" t="n">
        <v>3.5</v>
      </c>
      <c r="C9" s="16" t="s">
        <v>63</v>
      </c>
      <c r="D9" s="17" t="s">
        <v>69</v>
      </c>
    </row>
    <row r="10" customFormat="false" ht="15" hidden="false" customHeight="false" outlineLevel="0" collapsed="false">
      <c r="A10" s="8" t="s">
        <v>70</v>
      </c>
      <c r="B10" s="15" t="n">
        <v>225</v>
      </c>
      <c r="C10" s="16" t="s">
        <v>60</v>
      </c>
      <c r="D10" s="17" t="s">
        <v>71</v>
      </c>
    </row>
    <row r="11" customFormat="false" ht="15" hidden="false" customHeight="false" outlineLevel="0" collapsed="false">
      <c r="A11" s="8" t="s">
        <v>72</v>
      </c>
      <c r="B11" s="15" t="n">
        <v>700</v>
      </c>
      <c r="C11" s="16" t="s">
        <v>60</v>
      </c>
      <c r="D11" s="17" t="s">
        <v>73</v>
      </c>
    </row>
    <row r="12" customFormat="false" ht="15" hidden="false" customHeight="false" outlineLevel="0" collapsed="false">
      <c r="A12" s="8" t="s">
        <v>74</v>
      </c>
      <c r="B12" s="19" t="n">
        <f aca="false">B6+B10+B11</f>
        <v>1925</v>
      </c>
      <c r="C12" s="16" t="s">
        <v>60</v>
      </c>
      <c r="D12" s="17" t="s">
        <v>75</v>
      </c>
    </row>
    <row r="13" customFormat="false" ht="15" hidden="false" customHeight="false" outlineLevel="0" collapsed="false">
      <c r="A13" s="8" t="s">
        <v>76</v>
      </c>
      <c r="B13" s="15" t="n">
        <v>500</v>
      </c>
      <c r="C13" s="16" t="s">
        <v>60</v>
      </c>
      <c r="D13" s="17" t="s">
        <v>77</v>
      </c>
    </row>
    <row r="14" customFormat="false" ht="15" hidden="false" customHeight="false" outlineLevel="0" collapsed="false">
      <c r="A14" s="8" t="s">
        <v>78</v>
      </c>
      <c r="B14" s="15" t="n">
        <v>200</v>
      </c>
      <c r="C14" s="16" t="s">
        <v>60</v>
      </c>
      <c r="D14" s="17" t="s">
        <v>71</v>
      </c>
    </row>
    <row r="15" customFormat="false" ht="15" hidden="false" customHeight="false" outlineLevel="0" collapsed="false">
      <c r="A15" s="8" t="s">
        <v>79</v>
      </c>
      <c r="B15" s="19" t="n">
        <f aca="false">B13+B14</f>
        <v>700</v>
      </c>
      <c r="C15" s="16" t="s">
        <v>60</v>
      </c>
      <c r="D15" s="17" t="s">
        <v>80</v>
      </c>
    </row>
    <row r="16" customFormat="false" ht="15" hidden="false" customHeight="false" outlineLevel="0" collapsed="false">
      <c r="A16" s="8" t="s">
        <v>81</v>
      </c>
      <c r="B16" s="19" t="n">
        <f aca="false">B12+B15</f>
        <v>2625</v>
      </c>
      <c r="C16" s="16" t="s">
        <v>60</v>
      </c>
      <c r="D16" s="17" t="s">
        <v>82</v>
      </c>
    </row>
    <row r="17" customFormat="false" ht="15" hidden="false" customHeight="false" outlineLevel="0" collapsed="false">
      <c r="A17" s="14" t="s">
        <v>83</v>
      </c>
      <c r="B17" s="4"/>
      <c r="C17" s="4"/>
      <c r="D17" s="4"/>
    </row>
    <row r="18" customFormat="false" ht="15" hidden="false" customHeight="false" outlineLevel="0" collapsed="false">
      <c r="A18" s="8" t="s">
        <v>84</v>
      </c>
      <c r="B18" s="20" t="n">
        <v>1.25</v>
      </c>
      <c r="C18" s="16" t="s">
        <v>63</v>
      </c>
      <c r="D18" s="17" t="s">
        <v>85</v>
      </c>
    </row>
    <row r="19" customFormat="false" ht="15" hidden="false" customHeight="false" outlineLevel="0" collapsed="false">
      <c r="A19" s="8" t="s">
        <v>86</v>
      </c>
      <c r="B19" s="18" t="n">
        <v>1</v>
      </c>
      <c r="C19" s="16" t="s">
        <v>63</v>
      </c>
      <c r="D19" s="17" t="s">
        <v>87</v>
      </c>
    </row>
    <row r="20" customFormat="false" ht="15" hidden="false" customHeight="false" outlineLevel="0" collapsed="false">
      <c r="A20" s="8" t="s">
        <v>88</v>
      </c>
      <c r="B20" s="18" t="n">
        <v>1.25</v>
      </c>
      <c r="C20" s="16" t="s">
        <v>63</v>
      </c>
      <c r="D20" s="17" t="s">
        <v>89</v>
      </c>
    </row>
    <row r="21" customFormat="false" ht="15" hidden="false" customHeight="false" outlineLevel="0" collapsed="false">
      <c r="A21" s="8" t="s">
        <v>90</v>
      </c>
      <c r="B21" s="15" t="n">
        <v>5</v>
      </c>
      <c r="C21" s="16" t="s">
        <v>60</v>
      </c>
      <c r="D21" s="17" t="s">
        <v>91</v>
      </c>
    </row>
    <row r="22" customFormat="false" ht="22.35" hidden="false" customHeight="false" outlineLevel="0" collapsed="false">
      <c r="A22" s="8" t="s">
        <v>92</v>
      </c>
      <c r="B22" s="18" t="n">
        <v>1</v>
      </c>
      <c r="C22" s="16" t="s">
        <v>63</v>
      </c>
      <c r="D22" s="17" t="s">
        <v>93</v>
      </c>
    </row>
    <row r="23" customFormat="false" ht="15" hidden="false" customHeight="false" outlineLevel="0" collapsed="false">
      <c r="A23" s="14" t="s">
        <v>94</v>
      </c>
      <c r="B23" s="4"/>
      <c r="C23" s="4"/>
      <c r="D23" s="4"/>
    </row>
    <row r="24" customFormat="false" ht="15" hidden="false" customHeight="false" outlineLevel="0" collapsed="false">
      <c r="A24" s="8" t="s">
        <v>95</v>
      </c>
      <c r="B24" s="21" t="s">
        <v>96</v>
      </c>
      <c r="C24" s="16" t="s">
        <v>97</v>
      </c>
      <c r="D24" s="17" t="s">
        <v>98</v>
      </c>
    </row>
    <row r="25" customFormat="false" ht="15" hidden="false" customHeight="false" outlineLevel="0" collapsed="false">
      <c r="A25" s="8" t="s">
        <v>99</v>
      </c>
      <c r="B25" s="15" t="n">
        <v>300</v>
      </c>
      <c r="C25" s="16" t="s">
        <v>60</v>
      </c>
      <c r="D25" s="17" t="s">
        <v>100</v>
      </c>
    </row>
    <row r="26" customFormat="false" ht="15" hidden="false" customHeight="false" outlineLevel="0" collapsed="false">
      <c r="A26" s="8" t="s">
        <v>101</v>
      </c>
      <c r="B26" s="15" t="n">
        <v>355</v>
      </c>
      <c r="C26" s="16" t="s">
        <v>102</v>
      </c>
      <c r="D26" s="17" t="s">
        <v>100</v>
      </c>
    </row>
    <row r="27" customFormat="false" ht="15" hidden="false" customHeight="false" outlineLevel="0" collapsed="false">
      <c r="A27" s="8" t="s">
        <v>103</v>
      </c>
      <c r="B27" s="22" t="n">
        <v>0.85</v>
      </c>
      <c r="C27" s="16" t="s">
        <v>104</v>
      </c>
      <c r="D27" s="17" t="s">
        <v>105</v>
      </c>
    </row>
    <row r="28" customFormat="false" ht="15" hidden="false" customHeight="false" outlineLevel="0" collapsed="false">
      <c r="A28" s="8" t="s">
        <v>106</v>
      </c>
      <c r="B28" s="19" t="n">
        <f aca="false">B26*B27</f>
        <v>301.75</v>
      </c>
      <c r="C28" s="16" t="s">
        <v>60</v>
      </c>
      <c r="D28" s="17" t="s">
        <v>107</v>
      </c>
    </row>
    <row r="29" customFormat="false" ht="15" hidden="false" customHeight="false" outlineLevel="0" collapsed="false">
      <c r="A29" s="8" t="s">
        <v>108</v>
      </c>
      <c r="B29" s="19" t="n">
        <f aca="false">IF(B24="Munchen",B28,B25)</f>
        <v>300</v>
      </c>
      <c r="C29" s="16" t="s">
        <v>60</v>
      </c>
      <c r="D29" s="17" t="s">
        <v>109</v>
      </c>
    </row>
    <row r="30" customFormat="false" ht="15" hidden="false" customHeight="false" outlineLevel="0" collapsed="false">
      <c r="A30" s="8" t="s">
        <v>110</v>
      </c>
      <c r="B30" s="15" t="n">
        <v>10</v>
      </c>
      <c r="C30" s="16" t="s">
        <v>60</v>
      </c>
      <c r="D30" s="17" t="s">
        <v>111</v>
      </c>
    </row>
    <row r="31" customFormat="false" ht="15" hidden="false" customHeight="false" outlineLevel="0" collapsed="false">
      <c r="A31" s="8" t="s">
        <v>112</v>
      </c>
      <c r="B31" s="19" t="n">
        <f aca="false">B29+B30</f>
        <v>310</v>
      </c>
      <c r="C31" s="16" t="s">
        <v>60</v>
      </c>
      <c r="D31" s="17" t="s">
        <v>113</v>
      </c>
    </row>
    <row r="32" customFormat="false" ht="15" hidden="false" customHeight="false" outlineLevel="0" collapsed="false">
      <c r="A32" s="8" t="s">
        <v>114</v>
      </c>
      <c r="B32" s="23" t="n">
        <v>1</v>
      </c>
      <c r="C32" s="16" t="s">
        <v>115</v>
      </c>
      <c r="D32" s="17" t="s">
        <v>116</v>
      </c>
    </row>
    <row r="33" customFormat="false" ht="15" hidden="false" customHeight="false" outlineLevel="0" collapsed="false">
      <c r="A33" s="14" t="s">
        <v>117</v>
      </c>
      <c r="B33" s="4"/>
      <c r="C33" s="4"/>
      <c r="D33" s="4"/>
    </row>
    <row r="34" customFormat="false" ht="15" hidden="false" customHeight="false" outlineLevel="0" collapsed="false">
      <c r="A34" s="8" t="s">
        <v>118</v>
      </c>
      <c r="B34" s="15" t="n">
        <v>250</v>
      </c>
      <c r="C34" s="16" t="s">
        <v>66</v>
      </c>
      <c r="D34" s="17" t="s">
        <v>119</v>
      </c>
    </row>
    <row r="35" customFormat="false" ht="15" hidden="false" customHeight="false" outlineLevel="0" collapsed="false">
      <c r="A35" s="8" t="s">
        <v>120</v>
      </c>
      <c r="B35" s="18" t="n">
        <v>1.3</v>
      </c>
      <c r="C35" s="16" t="s">
        <v>63</v>
      </c>
      <c r="D35" s="17" t="s">
        <v>121</v>
      </c>
    </row>
    <row r="36" customFormat="false" ht="15" hidden="false" customHeight="false" outlineLevel="0" collapsed="false">
      <c r="A36" s="8" t="s">
        <v>122</v>
      </c>
      <c r="B36" s="24" t="n">
        <v>0.8</v>
      </c>
      <c r="C36" s="16" t="s">
        <v>115</v>
      </c>
      <c r="D36" s="17" t="s">
        <v>123</v>
      </c>
    </row>
    <row r="37" customFormat="false" ht="15" hidden="false" customHeight="false" outlineLevel="0" collapsed="false">
      <c r="A37" s="8" t="s">
        <v>124</v>
      </c>
      <c r="B37" s="24" t="n">
        <v>1</v>
      </c>
      <c r="C37" s="16" t="s">
        <v>115</v>
      </c>
      <c r="D37" s="17" t="s">
        <v>125</v>
      </c>
    </row>
    <row r="38" customFormat="false" ht="15" hidden="false" customHeight="false" outlineLevel="0" collapsed="false">
      <c r="A38" s="8" t="s">
        <v>126</v>
      </c>
      <c r="B38" s="19" t="n">
        <f aca="false">B34*B35*B36</f>
        <v>260</v>
      </c>
      <c r="C38" s="16" t="s">
        <v>60</v>
      </c>
      <c r="D38" s="17" t="s">
        <v>127</v>
      </c>
    </row>
    <row r="39" customFormat="false" ht="15" hidden="false" customHeight="false" outlineLevel="0" collapsed="false">
      <c r="A39" s="8" t="s">
        <v>128</v>
      </c>
      <c r="B39" s="19" t="n">
        <f aca="false">B34*B35*B37</f>
        <v>325</v>
      </c>
      <c r="C39" s="16" t="s">
        <v>60</v>
      </c>
      <c r="D39" s="17" t="s">
        <v>127</v>
      </c>
    </row>
    <row r="40" customFormat="false" ht="15" hidden="false" customHeight="false" outlineLevel="0" collapsed="false">
      <c r="A40" s="8" t="s">
        <v>129</v>
      </c>
      <c r="B40" s="23" t="n">
        <v>1</v>
      </c>
      <c r="C40" s="16" t="s">
        <v>115</v>
      </c>
      <c r="D40" s="17" t="s">
        <v>130</v>
      </c>
    </row>
    <row r="41" customFormat="false" ht="15" hidden="false" customHeight="false" outlineLevel="0" collapsed="false">
      <c r="A41" s="14" t="s">
        <v>131</v>
      </c>
      <c r="B41" s="4"/>
      <c r="C41" s="4"/>
      <c r="D41" s="4"/>
    </row>
    <row r="42" customFormat="false" ht="22.35" hidden="false" customHeight="false" outlineLevel="0" collapsed="false">
      <c r="A42" s="8" t="s">
        <v>132</v>
      </c>
      <c r="B42" s="23" t="n">
        <v>0.0375</v>
      </c>
      <c r="C42" s="16" t="s">
        <v>115</v>
      </c>
      <c r="D42" s="17" t="s">
        <v>133</v>
      </c>
    </row>
    <row r="43" customFormat="false" ht="15" hidden="false" customHeight="false" outlineLevel="0" collapsed="false">
      <c r="A43" s="8" t="s">
        <v>134</v>
      </c>
      <c r="B43" s="24" t="n">
        <v>0.02</v>
      </c>
      <c r="C43" s="16" t="s">
        <v>115</v>
      </c>
      <c r="D43" s="17" t="s">
        <v>135</v>
      </c>
    </row>
    <row r="44" customFormat="false" ht="15" hidden="false" customHeight="false" outlineLevel="0" collapsed="false">
      <c r="A44" s="8" t="s">
        <v>136</v>
      </c>
      <c r="B44" s="24" t="n">
        <v>0.07</v>
      </c>
      <c r="C44" s="16" t="s">
        <v>115</v>
      </c>
      <c r="D44" s="17" t="s">
        <v>137</v>
      </c>
    </row>
    <row r="45" customFormat="false" ht="15" hidden="false" customHeight="false" outlineLevel="0" collapsed="false">
      <c r="A45" s="8" t="s">
        <v>138</v>
      </c>
      <c r="B45" s="23" t="n">
        <v>0</v>
      </c>
      <c r="C45" s="16" t="s">
        <v>115</v>
      </c>
      <c r="D45" s="17" t="s">
        <v>139</v>
      </c>
    </row>
    <row r="46" customFormat="false" ht="22.35" hidden="false" customHeight="false" outlineLevel="0" collapsed="false">
      <c r="A46" s="8" t="s">
        <v>140</v>
      </c>
      <c r="B46" s="23" t="n">
        <v>0.06</v>
      </c>
      <c r="C46" s="16" t="s">
        <v>115</v>
      </c>
      <c r="D46" s="17" t="s">
        <v>141</v>
      </c>
    </row>
    <row r="47" customFormat="false" ht="15" hidden="false" customHeight="false" outlineLevel="0" collapsed="false">
      <c r="A47" s="8" t="s">
        <v>142</v>
      </c>
      <c r="B47" s="25" t="n">
        <f aca="false">B42+B43+B45</f>
        <v>0.0575</v>
      </c>
      <c r="C47" s="16" t="s">
        <v>115</v>
      </c>
      <c r="D47" s="17" t="s">
        <v>143</v>
      </c>
    </row>
    <row r="48" customFormat="false" ht="15" hidden="false" customHeight="false" outlineLevel="0" collapsed="false">
      <c r="A48" s="8" t="s">
        <v>144</v>
      </c>
      <c r="B48" s="25" t="n">
        <f aca="false">B44+B45</f>
        <v>0.07</v>
      </c>
      <c r="C48" s="16" t="s">
        <v>115</v>
      </c>
    </row>
    <row r="49" customFormat="false" ht="15" hidden="false" customHeight="false" outlineLevel="0" collapsed="false">
      <c r="A49" s="8" t="s">
        <v>145</v>
      </c>
      <c r="B49" s="25" t="n">
        <f aca="false">B47</f>
        <v>0.0575</v>
      </c>
      <c r="C49" s="16" t="s">
        <v>115</v>
      </c>
      <c r="D49" s="17" t="s">
        <v>146</v>
      </c>
    </row>
    <row r="50" customFormat="false" ht="15" hidden="false" customHeight="false" outlineLevel="0" collapsed="false">
      <c r="A50" s="8" t="s">
        <v>147</v>
      </c>
      <c r="B50" s="25" t="n">
        <f aca="false">B46+B45</f>
        <v>0.06</v>
      </c>
      <c r="C50" s="16" t="s">
        <v>115</v>
      </c>
    </row>
    <row r="51" customFormat="false" ht="15" hidden="false" customHeight="false" outlineLevel="0" collapsed="false">
      <c r="A51" s="8" t="s">
        <v>148</v>
      </c>
      <c r="B51" s="15" t="n">
        <v>3</v>
      </c>
      <c r="C51" s="16" t="s">
        <v>60</v>
      </c>
      <c r="D51" s="17" t="s">
        <v>149</v>
      </c>
    </row>
    <row r="52" customFormat="false" ht="15" hidden="false" customHeight="false" outlineLevel="0" collapsed="false">
      <c r="A52" s="8" t="s">
        <v>150</v>
      </c>
      <c r="B52" s="15" t="n">
        <v>1</v>
      </c>
      <c r="C52" s="16" t="s">
        <v>60</v>
      </c>
      <c r="D52" s="17" t="s">
        <v>151</v>
      </c>
    </row>
    <row r="53" customFormat="false" ht="15" hidden="false" customHeight="false" outlineLevel="0" collapsed="false">
      <c r="A53" s="8" t="s">
        <v>152</v>
      </c>
      <c r="B53" s="15" t="n">
        <v>3.25</v>
      </c>
      <c r="C53" s="16" t="s">
        <v>60</v>
      </c>
      <c r="D53" s="17" t="s">
        <v>153</v>
      </c>
    </row>
    <row r="54" customFormat="false" ht="15" hidden="false" customHeight="false" outlineLevel="0" collapsed="false">
      <c r="A54" s="8" t="s">
        <v>154</v>
      </c>
      <c r="B54" s="15" t="n">
        <v>5</v>
      </c>
      <c r="C54" s="16" t="s">
        <v>60</v>
      </c>
      <c r="D54" s="17" t="s">
        <v>155</v>
      </c>
    </row>
    <row r="55" customFormat="false" ht="15" hidden="false" customHeight="false" outlineLevel="0" collapsed="false">
      <c r="A55" s="8" t="s">
        <v>156</v>
      </c>
      <c r="B55" s="15" t="n">
        <v>5</v>
      </c>
      <c r="C55" s="16" t="s">
        <v>60</v>
      </c>
      <c r="D55" s="17" t="s">
        <v>157</v>
      </c>
    </row>
    <row r="56" customFormat="false" ht="15" hidden="false" customHeight="false" outlineLevel="0" collapsed="false">
      <c r="A56" s="8" t="s">
        <v>158</v>
      </c>
      <c r="B56" s="19" t="n">
        <f aca="false">B51</f>
        <v>3</v>
      </c>
      <c r="C56" s="16" t="s">
        <v>60</v>
      </c>
    </row>
    <row r="57" customFormat="false" ht="15" hidden="false" customHeight="false" outlineLevel="0" collapsed="false">
      <c r="A57" s="8" t="s">
        <v>159</v>
      </c>
      <c r="B57" s="19" t="n">
        <f aca="false">B51+B52</f>
        <v>4</v>
      </c>
      <c r="C57" s="16" t="s">
        <v>60</v>
      </c>
    </row>
    <row r="58" customFormat="false" ht="15" hidden="false" customHeight="false" outlineLevel="0" collapsed="false">
      <c r="A58" s="8" t="s">
        <v>160</v>
      </c>
      <c r="B58" s="19" t="n">
        <f aca="false">B53</f>
        <v>3.25</v>
      </c>
      <c r="C58" s="16" t="s">
        <v>60</v>
      </c>
    </row>
    <row r="59" customFormat="false" ht="15" hidden="false" customHeight="false" outlineLevel="0" collapsed="false">
      <c r="A59" s="8" t="s">
        <v>161</v>
      </c>
      <c r="B59" s="19" t="n">
        <f aca="false">B54+B55</f>
        <v>10</v>
      </c>
      <c r="C59" s="16" t="s">
        <v>60</v>
      </c>
    </row>
    <row r="60" customFormat="false" ht="15" hidden="false" customHeight="false" outlineLevel="0" collapsed="false">
      <c r="A60" s="8" t="s">
        <v>162</v>
      </c>
      <c r="B60" s="26" t="n">
        <v>25</v>
      </c>
      <c r="C60" s="16" t="s">
        <v>163</v>
      </c>
      <c r="D60" s="17" t="s">
        <v>164</v>
      </c>
    </row>
    <row r="61" customFormat="false" ht="15" hidden="false" customHeight="false" outlineLevel="0" collapsed="false">
      <c r="A61" s="14" t="s">
        <v>165</v>
      </c>
      <c r="B61" s="4"/>
      <c r="C61" s="4"/>
      <c r="D61" s="4"/>
    </row>
    <row r="62" customFormat="false" ht="15" hidden="false" customHeight="false" outlineLevel="0" collapsed="false">
      <c r="A62" s="8" t="s">
        <v>166</v>
      </c>
      <c r="B62" s="27" t="n">
        <v>1</v>
      </c>
      <c r="C62" s="16" t="s">
        <v>167</v>
      </c>
      <c r="D62" s="17" t="s">
        <v>168</v>
      </c>
    </row>
    <row r="63" customFormat="false" ht="15" hidden="false" customHeight="false" outlineLevel="0" collapsed="false">
      <c r="A63" s="8" t="s">
        <v>169</v>
      </c>
      <c r="B63" s="21" t="s">
        <v>170</v>
      </c>
      <c r="C63" s="16" t="s">
        <v>97</v>
      </c>
      <c r="D63" s="17" t="s">
        <v>171</v>
      </c>
    </row>
    <row r="64" customFormat="false" ht="15" hidden="false" customHeight="false" outlineLevel="0" collapsed="false">
      <c r="A64" s="8" t="s">
        <v>172</v>
      </c>
      <c r="B64" s="23" t="n">
        <v>0.5</v>
      </c>
      <c r="C64" s="16" t="s">
        <v>115</v>
      </c>
      <c r="D64" s="17" t="s">
        <v>173</v>
      </c>
    </row>
    <row r="65" customFormat="false" ht="15" hidden="false" customHeight="false" outlineLevel="0" collapsed="false">
      <c r="A65" s="8" t="s">
        <v>174</v>
      </c>
      <c r="B65" s="25" t="n">
        <f aca="false">IF(B63="Fixed loan",B48,IF(B63="Currency loan",B49,IF(B63="Bond",B50,B47)))</f>
        <v>0.0575</v>
      </c>
      <c r="C65" s="16" t="s">
        <v>115</v>
      </c>
    </row>
    <row r="66" customFormat="false" ht="15" hidden="false" customHeight="false" outlineLevel="0" collapsed="false">
      <c r="A66" s="8" t="s">
        <v>175</v>
      </c>
      <c r="B66" s="19" t="n">
        <f aca="false">IF(B63="Fixed loan",B57,IF(B63="Currency loan",B58,IF(B63="Bond",B59,B56)))</f>
        <v>3</v>
      </c>
      <c r="C66" s="16" t="s">
        <v>60</v>
      </c>
    </row>
    <row r="67" customFormat="false" ht="15" hidden="false" customHeight="false" outlineLevel="0" collapsed="false">
      <c r="A67" s="14" t="s">
        <v>176</v>
      </c>
      <c r="B67" s="4"/>
      <c r="C67" s="4"/>
      <c r="D67" s="4"/>
    </row>
    <row r="68" customFormat="false" ht="15" hidden="false" customHeight="false" outlineLevel="0" collapsed="false">
      <c r="A68" s="8" t="s">
        <v>177</v>
      </c>
      <c r="B68" s="24" t="n">
        <v>0.05</v>
      </c>
      <c r="C68" s="16" t="s">
        <v>115</v>
      </c>
      <c r="D68" s="17" t="s">
        <v>71</v>
      </c>
    </row>
    <row r="69" customFormat="false" ht="15" hidden="false" customHeight="false" outlineLevel="0" collapsed="false">
      <c r="A69" s="8" t="s">
        <v>178</v>
      </c>
      <c r="B69" s="24" t="n">
        <v>0.06</v>
      </c>
      <c r="C69" s="16" t="s">
        <v>115</v>
      </c>
      <c r="D69" s="17" t="s">
        <v>71</v>
      </c>
    </row>
    <row r="70" customFormat="false" ht="15" hidden="false" customHeight="false" outlineLevel="0" collapsed="false">
      <c r="A70" s="8" t="s">
        <v>179</v>
      </c>
      <c r="B70" s="24" t="n">
        <v>0.065</v>
      </c>
      <c r="C70" s="16" t="s">
        <v>115</v>
      </c>
      <c r="D70" s="17" t="s">
        <v>71</v>
      </c>
    </row>
    <row r="71" customFormat="false" ht="15" hidden="false" customHeight="false" outlineLevel="0" collapsed="false">
      <c r="A71" s="8" t="s">
        <v>180</v>
      </c>
      <c r="B71" s="28" t="n">
        <f aca="false">B70*B7</f>
        <v>0.065</v>
      </c>
      <c r="C71" s="16" t="s">
        <v>63</v>
      </c>
      <c r="D71" s="17" t="s">
        <v>181</v>
      </c>
    </row>
    <row r="72" customFormat="false" ht="15" hidden="false" customHeight="false" outlineLevel="0" collapsed="false">
      <c r="A72" s="8" t="s">
        <v>182</v>
      </c>
      <c r="B72" s="25" t="n">
        <f aca="false">(B70/B68)^(1/2)-1</f>
        <v>0.140175425099138</v>
      </c>
      <c r="C72" s="16" t="s">
        <v>115</v>
      </c>
      <c r="D72" s="17" t="s">
        <v>183</v>
      </c>
    </row>
    <row r="73" customFormat="false" ht="15" hidden="false" customHeight="false" outlineLevel="0" collapsed="false">
      <c r="A73" s="8" t="s">
        <v>184</v>
      </c>
      <c r="B73" s="28" t="n">
        <f aca="false">B71*(1+B72)</f>
        <v>0.074111402631444</v>
      </c>
      <c r="C73" s="16" t="s">
        <v>63</v>
      </c>
    </row>
    <row r="74" customFormat="false" ht="15" hidden="false" customHeight="false" outlineLevel="0" collapsed="false">
      <c r="A74" s="8" t="s">
        <v>185</v>
      </c>
      <c r="B74" s="25" t="n">
        <f aca="false">B73/B9+B72</f>
        <v>0.161350111565265</v>
      </c>
      <c r="C74" s="16" t="s">
        <v>115</v>
      </c>
      <c r="D74" s="17" t="s">
        <v>186</v>
      </c>
    </row>
    <row r="75" customFormat="false" ht="15" hidden="false" customHeight="false" outlineLevel="0" collapsed="false">
      <c r="A75" s="8" t="s">
        <v>187</v>
      </c>
      <c r="B75" s="15" t="n">
        <v>500</v>
      </c>
      <c r="C75" s="16" t="s">
        <v>60</v>
      </c>
      <c r="D75" s="17" t="s">
        <v>188</v>
      </c>
    </row>
    <row r="76" customFormat="false" ht="15" hidden="false" customHeight="false" outlineLevel="0" collapsed="false">
      <c r="A76" s="8" t="s">
        <v>189</v>
      </c>
      <c r="B76" s="24" t="n">
        <v>0.06</v>
      </c>
      <c r="C76" s="16" t="s">
        <v>115</v>
      </c>
      <c r="D76" s="17" t="s">
        <v>190</v>
      </c>
    </row>
    <row r="77" customFormat="false" ht="15" hidden="false" customHeight="false" outlineLevel="0" collapsed="false">
      <c r="A77" s="8" t="s">
        <v>191</v>
      </c>
      <c r="B77" s="24" t="n">
        <v>0.07</v>
      </c>
      <c r="C77" s="16" t="s">
        <v>115</v>
      </c>
      <c r="D77" s="17" t="s">
        <v>192</v>
      </c>
    </row>
    <row r="78" customFormat="false" ht="15" hidden="false" customHeight="false" outlineLevel="0" collapsed="false">
      <c r="A78" s="8" t="s">
        <v>193</v>
      </c>
      <c r="B78" s="24" t="n">
        <v>0.0175</v>
      </c>
      <c r="C78" s="16" t="s">
        <v>115</v>
      </c>
      <c r="D78" s="17" t="s">
        <v>194</v>
      </c>
    </row>
    <row r="79" customFormat="false" ht="15" hidden="false" customHeight="false" outlineLevel="0" collapsed="false">
      <c r="A79" s="8" t="s">
        <v>195</v>
      </c>
      <c r="B79" s="19" t="n">
        <f aca="false">B13*B76+B14*B77</f>
        <v>44</v>
      </c>
      <c r="C79" s="16" t="s">
        <v>60</v>
      </c>
      <c r="D79" s="17" t="s">
        <v>196</v>
      </c>
    </row>
    <row r="80" customFormat="false" ht="15" hidden="false" customHeight="false" outlineLevel="0" collapsed="false">
      <c r="A80" s="8" t="s">
        <v>197</v>
      </c>
      <c r="B80" s="19" t="n">
        <f aca="false">B75+B79</f>
        <v>544</v>
      </c>
      <c r="C80" s="16" t="s">
        <v>60</v>
      </c>
    </row>
    <row r="81" customFormat="false" ht="15" hidden="false" customHeight="false" outlineLevel="0" collapsed="false">
      <c r="A81" s="8" t="s">
        <v>198</v>
      </c>
      <c r="B81" s="19" t="n">
        <f aca="false">B13*B76+B14*(B42+B78)</f>
        <v>41</v>
      </c>
      <c r="C81" s="16" t="s">
        <v>60</v>
      </c>
      <c r="D81" s="17" t="s">
        <v>199</v>
      </c>
    </row>
    <row r="82" customFormat="false" ht="15" hidden="false" customHeight="false" outlineLevel="0" collapsed="false">
      <c r="A82" s="8" t="s">
        <v>200</v>
      </c>
      <c r="B82" s="23" t="n">
        <v>0.25</v>
      </c>
      <c r="C82" s="16" t="s">
        <v>115</v>
      </c>
      <c r="D82" s="17" t="s">
        <v>201</v>
      </c>
    </row>
    <row r="83" customFormat="false" ht="15" hidden="false" customHeight="false" outlineLevel="0" collapsed="false">
      <c r="A83" s="14" t="s">
        <v>202</v>
      </c>
      <c r="B83" s="4"/>
      <c r="C83" s="4"/>
      <c r="D83" s="4"/>
    </row>
    <row r="84" customFormat="false" ht="15" hidden="false" customHeight="false" outlineLevel="0" collapsed="false">
      <c r="A84" s="8" t="s">
        <v>203</v>
      </c>
      <c r="B84" s="23" t="n">
        <v>0.05</v>
      </c>
      <c r="C84" s="16" t="s">
        <v>115</v>
      </c>
      <c r="D84" s="17" t="s">
        <v>204</v>
      </c>
    </row>
  </sheetData>
  <dataValidations count="4">
    <dataValidation allowBlank="false" errorStyle="stop" operator="between" showDropDown="false" showErrorMessage="false" showInputMessage="false" sqref="B24" type="list">
      <formula1>"British,Munchen"</formula1>
      <formula2>0</formula2>
    </dataValidation>
    <dataValidation allowBlank="false" errorStyle="stop" operator="between" showDropDown="false" showErrorMessage="false" showInputMessage="false" sqref="B63" type="list">
      <formula1>"Floating loan,Fixed loan,Currency loan,Bond"</formula1>
      <formula2>0</formula2>
    </dataValidation>
    <dataValidation allowBlank="false" errorStyle="stop" operator="between" showDropDown="false" showErrorMessage="false" showInputMessage="false" sqref="B62" type="list">
      <formula1>"1,2,3"</formula1>
      <formula2>0</formula2>
    </dataValidation>
    <dataValidation allowBlank="false" errorStyle="stop" operator="between" showDropDown="false" showErrorMessage="false" showInputMessage="false" sqref="B32 B40 B64 B8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5" min="3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1" t="s">
        <v>205</v>
      </c>
    </row>
    <row r="2" customFormat="false" ht="15" hidden="false" customHeight="false" outlineLevel="0" collapsed="false">
      <c r="A2" s="2" t="s">
        <v>206</v>
      </c>
    </row>
    <row r="4" customFormat="false" ht="30" hidden="false" customHeight="true" outlineLevel="0" collapsed="false">
      <c r="A4" s="12" t="s">
        <v>207</v>
      </c>
      <c r="B4" s="13" t="s">
        <v>56</v>
      </c>
      <c r="C4" s="13" t="s">
        <v>208</v>
      </c>
      <c r="D4" s="13" t="s">
        <v>209</v>
      </c>
      <c r="E4" s="13" t="s">
        <v>210</v>
      </c>
      <c r="F4" s="13" t="s">
        <v>211</v>
      </c>
    </row>
    <row r="6" customFormat="false" ht="15" hidden="false" customHeight="false" outlineLevel="0" collapsed="false">
      <c r="A6" s="14" t="s">
        <v>212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8" t="s">
        <v>213</v>
      </c>
      <c r="B7" s="16" t="s">
        <v>60</v>
      </c>
      <c r="C7" s="29" t="n">
        <f aca="false">Inputs!$B$31</f>
        <v>310</v>
      </c>
      <c r="D7" s="29" t="n">
        <f aca="false">Inputs!$B$38</f>
        <v>260</v>
      </c>
      <c r="E7" s="29" t="n">
        <f aca="false">Inputs!$B$39</f>
        <v>325</v>
      </c>
      <c r="F7" s="17" t="s">
        <v>214</v>
      </c>
    </row>
    <row r="8" customFormat="false" ht="15" hidden="false" customHeight="false" outlineLevel="0" collapsed="false">
      <c r="A8" s="8" t="s">
        <v>215</v>
      </c>
      <c r="B8" s="16" t="s">
        <v>115</v>
      </c>
      <c r="C8" s="30" t="n">
        <f aca="false">Inputs!$B$32</f>
        <v>1</v>
      </c>
      <c r="D8" s="30" t="n">
        <f aca="false">Inputs!$B$40</f>
        <v>1</v>
      </c>
      <c r="E8" s="30" t="n">
        <f aca="false">Inputs!$B$40</f>
        <v>1</v>
      </c>
      <c r="F8" s="17" t="s">
        <v>216</v>
      </c>
    </row>
    <row r="9" customFormat="false" ht="15" hidden="false" customHeight="false" outlineLevel="0" collapsed="false">
      <c r="A9" s="8" t="s">
        <v>217</v>
      </c>
      <c r="B9" s="16" t="s">
        <v>60</v>
      </c>
      <c r="C9" s="19" t="n">
        <f aca="false">C7*C8</f>
        <v>310</v>
      </c>
      <c r="D9" s="19" t="n">
        <f aca="false">D7*D8</f>
        <v>260</v>
      </c>
      <c r="E9" s="19" t="n">
        <f aca="false">E7*E8</f>
        <v>325</v>
      </c>
      <c r="F9" s="17" t="s">
        <v>218</v>
      </c>
    </row>
    <row r="10" customFormat="false" ht="15" hidden="false" customHeight="false" outlineLevel="0" collapsed="false">
      <c r="A10" s="8" t="s">
        <v>219</v>
      </c>
      <c r="B10" s="16" t="s">
        <v>60</v>
      </c>
      <c r="C10" s="19" t="n">
        <f aca="false">IF(C9&gt;0,Inputs!$B$21,0)</f>
        <v>5</v>
      </c>
      <c r="D10" s="19" t="n">
        <f aca="false">IF(D9&gt;0,Inputs!$B$21,0)</f>
        <v>5</v>
      </c>
      <c r="E10" s="19" t="n">
        <f aca="false">IF(E9&gt;0,Inputs!$B$21,0)</f>
        <v>5</v>
      </c>
      <c r="F10" s="17" t="s">
        <v>220</v>
      </c>
    </row>
    <row r="11" customFormat="false" ht="15" hidden="false" customHeight="false" outlineLevel="0" collapsed="false">
      <c r="A11" s="5" t="s">
        <v>221</v>
      </c>
      <c r="B11" s="16" t="s">
        <v>60</v>
      </c>
      <c r="C11" s="31" t="n">
        <f aca="false">C9+C10</f>
        <v>315</v>
      </c>
      <c r="D11" s="31" t="n">
        <f aca="false">D9+D10</f>
        <v>265</v>
      </c>
      <c r="E11" s="31" t="n">
        <f aca="false">E9+E10</f>
        <v>330</v>
      </c>
      <c r="F11" s="17" t="s">
        <v>222</v>
      </c>
    </row>
    <row r="12" customFormat="false" ht="15" hidden="false" customHeight="false" outlineLevel="0" collapsed="false">
      <c r="A12" s="8" t="s">
        <v>223</v>
      </c>
      <c r="B12" s="16" t="s">
        <v>63</v>
      </c>
      <c r="C12" s="32" t="n">
        <f aca="false">Inputs!$B$18</f>
        <v>1.25</v>
      </c>
      <c r="D12" s="32" t="n">
        <f aca="false">Inputs!$B$18</f>
        <v>1.25</v>
      </c>
      <c r="E12" s="32" t="n">
        <f aca="false">Inputs!$B$18</f>
        <v>1.25</v>
      </c>
      <c r="F12" s="17" t="s">
        <v>224</v>
      </c>
    </row>
    <row r="13" customFormat="false" ht="15" hidden="false" customHeight="false" outlineLevel="0" collapsed="false">
      <c r="A13" s="5" t="s">
        <v>225</v>
      </c>
      <c r="B13" s="16" t="s">
        <v>66</v>
      </c>
      <c r="C13" s="31" t="n">
        <f aca="false">IF(C12&gt;0,C11/C12,0)</f>
        <v>252</v>
      </c>
      <c r="D13" s="31" t="n">
        <f aca="false">IF(D12&gt;0,D11/D12,0)</f>
        <v>212</v>
      </c>
      <c r="E13" s="31" t="n">
        <f aca="false">IF(E12&gt;0,E11/E12,0)</f>
        <v>264</v>
      </c>
      <c r="F13" s="17" t="s">
        <v>226</v>
      </c>
    </row>
    <row r="15" customFormat="false" ht="15" hidden="false" customHeight="false" outlineLevel="0" collapsed="false">
      <c r="A15" s="14" t="s">
        <v>227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8" t="s">
        <v>228</v>
      </c>
      <c r="B16" s="16" t="s">
        <v>66</v>
      </c>
      <c r="C16" s="29" t="n">
        <f aca="false">Inputs!$B$8</f>
        <v>1000</v>
      </c>
      <c r="D16" s="29" t="n">
        <f aca="false">Inputs!$B$8</f>
        <v>1000</v>
      </c>
      <c r="E16" s="29" t="n">
        <f aca="false">Inputs!$B$8</f>
        <v>1000</v>
      </c>
    </row>
    <row r="17" customFormat="false" ht="15" hidden="false" customHeight="false" outlineLevel="0" collapsed="false">
      <c r="A17" s="8" t="s">
        <v>229</v>
      </c>
      <c r="B17" s="16" t="s">
        <v>230</v>
      </c>
      <c r="C17" s="33" t="n">
        <f aca="false">IF(C13&gt;0,C16/C13,0)</f>
        <v>3.96825396825397</v>
      </c>
      <c r="D17" s="33" t="n">
        <f aca="false">IF(D13&gt;0,D16/D13,0)</f>
        <v>4.71698113207547</v>
      </c>
      <c r="E17" s="33" t="n">
        <f aca="false">IF(E13&gt;0,E16/E13,0)</f>
        <v>3.78787878787879</v>
      </c>
      <c r="F17" s="17" t="s">
        <v>231</v>
      </c>
    </row>
    <row r="18" customFormat="false" ht="15" hidden="false" customHeight="false" outlineLevel="0" collapsed="false">
      <c r="A18" s="8" t="s">
        <v>232</v>
      </c>
      <c r="B18" s="16" t="s">
        <v>97</v>
      </c>
      <c r="C18" s="34" t="str">
        <f aca="false">IF(C13&gt;0,"1 for "&amp;TEXT(C17,"0.00"),"No issue")</f>
        <v>1 for 3.97</v>
      </c>
      <c r="D18" s="34" t="str">
        <f aca="false">IF(D13&gt;0,"1 for "&amp;TEXT(D17,"0.00"),"No issue")</f>
        <v>1 for 4.72</v>
      </c>
      <c r="E18" s="34" t="str">
        <f aca="false">IF(E13&gt;0,"1 for "&amp;TEXT(E17,"0.00"),"No issue")</f>
        <v>1 for 3.79</v>
      </c>
      <c r="F18" s="17" t="s">
        <v>233</v>
      </c>
    </row>
    <row r="19" customFormat="false" ht="15" hidden="false" customHeight="false" outlineLevel="0" collapsed="false">
      <c r="A19" s="8" t="s">
        <v>234</v>
      </c>
      <c r="B19" s="16" t="s">
        <v>66</v>
      </c>
      <c r="C19" s="19" t="n">
        <f aca="false">C16+C13</f>
        <v>1252</v>
      </c>
      <c r="D19" s="19" t="n">
        <f aca="false">D16+D13</f>
        <v>1212</v>
      </c>
      <c r="E19" s="19" t="n">
        <f aca="false">E16+E13</f>
        <v>1264</v>
      </c>
    </row>
    <row r="20" customFormat="false" ht="15" hidden="false" customHeight="false" outlineLevel="0" collapsed="false">
      <c r="A20" s="8" t="s">
        <v>235</v>
      </c>
      <c r="B20" s="16" t="s">
        <v>115</v>
      </c>
      <c r="C20" s="25" t="n">
        <f aca="false">IF(C19&gt;0,C13/C19,0)</f>
        <v>0.201277955271566</v>
      </c>
      <c r="D20" s="25" t="n">
        <f aca="false">IF(D19&gt;0,D13/D19,0)</f>
        <v>0.174917491749175</v>
      </c>
      <c r="E20" s="25" t="n">
        <f aca="false">IF(E19&gt;0,E13/E19,0)</f>
        <v>0.208860759493671</v>
      </c>
    </row>
    <row r="22" customFormat="false" ht="15" hidden="false" customHeight="false" outlineLevel="0" collapsed="false">
      <c r="A22" s="14" t="s">
        <v>236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8" t="s">
        <v>237</v>
      </c>
      <c r="B23" s="16" t="s">
        <v>230</v>
      </c>
      <c r="C23" s="35" t="n">
        <f aca="false">IF(C13&gt;0,MAX(1,ROUND(C17,0)),0)</f>
        <v>4</v>
      </c>
      <c r="D23" s="35" t="n">
        <f aca="false">IF(D13&gt;0,MAX(1,ROUND(D17,0)),0)</f>
        <v>5</v>
      </c>
      <c r="E23" s="35" t="n">
        <f aca="false">IF(E13&gt;0,MAX(1,ROUND(E17,0)),0)</f>
        <v>4</v>
      </c>
    </row>
    <row r="24" customFormat="false" ht="15" hidden="false" customHeight="false" outlineLevel="0" collapsed="false">
      <c r="A24" s="8" t="s">
        <v>238</v>
      </c>
      <c r="B24" s="16" t="s">
        <v>97</v>
      </c>
      <c r="C24" s="36" t="str">
        <f aca="false">IF(C23&gt;0,"1 for "&amp;C23,"No issue")</f>
        <v>1 for 4</v>
      </c>
      <c r="D24" s="36" t="str">
        <f aca="false">IF(D23&gt;0,"1 for "&amp;D23,"No issue")</f>
        <v>1 for 5</v>
      </c>
      <c r="E24" s="36" t="str">
        <f aca="false">IF(E23&gt;0,"1 for "&amp;E23,"No issue")</f>
        <v>1 for 4</v>
      </c>
    </row>
    <row r="25" customFormat="false" ht="15" hidden="false" customHeight="false" outlineLevel="0" collapsed="false">
      <c r="A25" s="8" t="s">
        <v>239</v>
      </c>
      <c r="B25" s="16" t="s">
        <v>66</v>
      </c>
      <c r="C25" s="19" t="n">
        <f aca="false">IF(C23&gt;0,C16/C23,0)</f>
        <v>250</v>
      </c>
      <c r="D25" s="19" t="n">
        <f aca="false">IF(D23&gt;0,D16/D23,0)</f>
        <v>200</v>
      </c>
      <c r="E25" s="19" t="n">
        <f aca="false">IF(E23&gt;0,E16/E23,0)</f>
        <v>250</v>
      </c>
    </row>
    <row r="26" customFormat="false" ht="15" hidden="false" customHeight="false" outlineLevel="0" collapsed="false">
      <c r="A26" s="8" t="s">
        <v>240</v>
      </c>
      <c r="B26" s="16" t="s">
        <v>60</v>
      </c>
      <c r="C26" s="19" t="n">
        <f aca="false">C25*C12</f>
        <v>312.5</v>
      </c>
      <c r="D26" s="19" t="n">
        <f aca="false">D25*D12</f>
        <v>250</v>
      </c>
      <c r="E26" s="19" t="n">
        <f aca="false">E25*E12</f>
        <v>312.5</v>
      </c>
    </row>
    <row r="27" customFormat="false" ht="15" hidden="false" customHeight="false" outlineLevel="0" collapsed="false">
      <c r="A27" s="8" t="s">
        <v>241</v>
      </c>
      <c r="B27" s="16" t="s">
        <v>60</v>
      </c>
      <c r="C27" s="19" t="n">
        <f aca="false">C26-C11</f>
        <v>-2.5</v>
      </c>
      <c r="D27" s="19" t="n">
        <f aca="false">D26-D11</f>
        <v>-15</v>
      </c>
      <c r="E27" s="19" t="n">
        <f aca="false">E26-E11</f>
        <v>-17.5</v>
      </c>
      <c r="F27" s="17" t="s">
        <v>242</v>
      </c>
    </row>
    <row r="28" customFormat="false" ht="15" hidden="false" customHeight="false" outlineLevel="0" collapsed="false">
      <c r="A28" s="8" t="s">
        <v>243</v>
      </c>
      <c r="B28" s="16" t="s">
        <v>63</v>
      </c>
      <c r="C28" s="37" t="n">
        <f aca="false">IF(C25&gt;0,C11/C25,0)</f>
        <v>1.26</v>
      </c>
      <c r="D28" s="37" t="n">
        <f aca="false">IF(D25&gt;0,D11/D25,0)</f>
        <v>1.325</v>
      </c>
      <c r="E28" s="37" t="n">
        <f aca="false">IF(E25&gt;0,E11/E25,0)</f>
        <v>1.32</v>
      </c>
      <c r="F28" s="17" t="s">
        <v>244</v>
      </c>
    </row>
    <row r="29" customFormat="false" ht="15" hidden="false" customHeight="false" outlineLevel="0" collapsed="false">
      <c r="A29" s="8" t="s">
        <v>245</v>
      </c>
      <c r="B29" s="16" t="s">
        <v>246</v>
      </c>
      <c r="C29" s="36" t="str">
        <f aca="false">IF(AND(C28&gt;=Inputs!$B$19,C28&lt;=Inputs!$B$20),"Yes","No")</f>
        <v>No</v>
      </c>
      <c r="D29" s="36" t="str">
        <f aca="false">IF(AND(D28&gt;=Inputs!$B$19,D28&lt;=Inputs!$B$20),"Yes","No")</f>
        <v>No</v>
      </c>
      <c r="E29" s="36" t="str">
        <f aca="false">IF(AND(E28&gt;=Inputs!$B$19,E28&lt;=Inputs!$B$20),"Yes","No")</f>
        <v>No</v>
      </c>
    </row>
    <row r="31" customFormat="false" ht="15" hidden="false" customHeight="false" outlineLevel="0" collapsed="false">
      <c r="A31" s="14" t="s">
        <v>247</v>
      </c>
      <c r="B31" s="4"/>
      <c r="C31" s="4"/>
      <c r="D31" s="4"/>
      <c r="E31" s="4"/>
      <c r="F31" s="4"/>
    </row>
    <row r="32" customFormat="false" ht="15" hidden="false" customHeight="false" outlineLevel="0" collapsed="false">
      <c r="A32" s="8" t="s">
        <v>248</v>
      </c>
      <c r="B32" s="16" t="s">
        <v>60</v>
      </c>
      <c r="C32" s="19" t="n">
        <f aca="false">C13*C12</f>
        <v>315</v>
      </c>
      <c r="D32" s="19" t="n">
        <f aca="false">D13*D12</f>
        <v>265</v>
      </c>
      <c r="E32" s="19" t="n">
        <f aca="false">E13*E12</f>
        <v>330</v>
      </c>
      <c r="F32" s="17" t="s">
        <v>249</v>
      </c>
    </row>
    <row r="33" customFormat="false" ht="15" hidden="false" customHeight="false" outlineLevel="0" collapsed="false">
      <c r="A33" s="8" t="s">
        <v>250</v>
      </c>
      <c r="B33" s="16" t="s">
        <v>60</v>
      </c>
      <c r="C33" s="19" t="n">
        <f aca="false">-C10</f>
        <v>-5</v>
      </c>
      <c r="D33" s="19" t="n">
        <f aca="false">-D10</f>
        <v>-5</v>
      </c>
      <c r="E33" s="19" t="n">
        <f aca="false">-E10</f>
        <v>-5</v>
      </c>
    </row>
    <row r="34" customFormat="false" ht="15" hidden="false" customHeight="false" outlineLevel="0" collapsed="false">
      <c r="A34" s="5" t="s">
        <v>251</v>
      </c>
      <c r="B34" s="16" t="s">
        <v>60</v>
      </c>
      <c r="C34" s="31" t="n">
        <f aca="false">C32+C33</f>
        <v>310</v>
      </c>
      <c r="D34" s="31" t="n">
        <f aca="false">D32+D33</f>
        <v>260</v>
      </c>
      <c r="E34" s="31" t="n">
        <f aca="false">E32+E33</f>
        <v>325</v>
      </c>
    </row>
    <row r="35" customFormat="false" ht="15" hidden="false" customHeight="false" outlineLevel="0" collapsed="false">
      <c r="A35" s="8" t="s">
        <v>252</v>
      </c>
      <c r="B35" s="16" t="s">
        <v>246</v>
      </c>
      <c r="C35" s="36" t="str">
        <f aca="false">IF(ABS(C34-C9)&lt;0.0001,"OK","CHECK")</f>
        <v>OK</v>
      </c>
      <c r="D35" s="36" t="str">
        <f aca="false">IF(ABS(D34-D9)&lt;0.0001,"OK","CHECK")</f>
        <v>OK</v>
      </c>
      <c r="E35" s="36" t="str">
        <f aca="false">IF(ABS(E34-E9)&lt;0.0001,"OK","CHECK")</f>
        <v>OK</v>
      </c>
    </row>
    <row r="36" customFormat="false" ht="15" hidden="false" customHeight="false" outlineLevel="0" collapsed="false">
      <c r="A36" s="8" t="s">
        <v>253</v>
      </c>
      <c r="B36" s="16" t="s">
        <v>60</v>
      </c>
      <c r="C36" s="29" t="n">
        <f aca="false">C13*Inputs!$B$7</f>
        <v>252</v>
      </c>
      <c r="D36" s="29" t="n">
        <f aca="false">D13*Inputs!$B$7</f>
        <v>212</v>
      </c>
      <c r="E36" s="29" t="n">
        <f aca="false">E13*Inputs!$B$7</f>
        <v>264</v>
      </c>
      <c r="F36" s="17" t="s">
        <v>254</v>
      </c>
    </row>
    <row r="37" customFormat="false" ht="15" hidden="false" customHeight="false" outlineLevel="0" collapsed="false">
      <c r="A37" s="8" t="s">
        <v>255</v>
      </c>
      <c r="B37" s="16" t="s">
        <v>60</v>
      </c>
      <c r="C37" s="19" t="n">
        <f aca="false">C13*(C12-Inputs!$B$7)</f>
        <v>63</v>
      </c>
      <c r="D37" s="19" t="n">
        <f aca="false">D13*(D12-Inputs!$B$7)</f>
        <v>53</v>
      </c>
      <c r="E37" s="19" t="n">
        <f aca="false">E13*(E12-Inputs!$B$7)</f>
        <v>66</v>
      </c>
      <c r="F37" s="17" t="s">
        <v>256</v>
      </c>
    </row>
    <row r="38" customFormat="false" ht="15" hidden="false" customHeight="false" outlineLevel="0" collapsed="false">
      <c r="A38" s="8" t="s">
        <v>257</v>
      </c>
      <c r="B38" s="16" t="s">
        <v>60</v>
      </c>
      <c r="C38" s="19" t="n">
        <f aca="false">-C10</f>
        <v>-5</v>
      </c>
      <c r="D38" s="19" t="n">
        <f aca="false">-D10</f>
        <v>-5</v>
      </c>
      <c r="E38" s="19" t="n">
        <f aca="false">-E10</f>
        <v>-5</v>
      </c>
      <c r="F38" s="17" t="s">
        <v>258</v>
      </c>
    </row>
    <row r="39" customFormat="false" ht="15" hidden="false" customHeight="false" outlineLevel="0" collapsed="false">
      <c r="A39" s="5" t="s">
        <v>259</v>
      </c>
      <c r="B39" s="16" t="s">
        <v>60</v>
      </c>
      <c r="C39" s="31" t="n">
        <f aca="false">C37+C38</f>
        <v>58</v>
      </c>
      <c r="D39" s="31" t="n">
        <f aca="false">D37+D38</f>
        <v>48</v>
      </c>
      <c r="E39" s="31" t="n">
        <f aca="false">E37+E38</f>
        <v>61</v>
      </c>
    </row>
    <row r="40" customFormat="false" ht="15" hidden="false" customHeight="false" outlineLevel="0" collapsed="false">
      <c r="A40" s="8" t="s">
        <v>260</v>
      </c>
      <c r="B40" s="16" t="s">
        <v>115</v>
      </c>
      <c r="C40" s="25" t="n">
        <f aca="false">IF(C32&gt;0,C10/C32,0)</f>
        <v>0.0158730158730159</v>
      </c>
      <c r="D40" s="25" t="n">
        <f aca="false">IF(D32&gt;0,D10/D32,0)</f>
        <v>0.0188679245283019</v>
      </c>
      <c r="E40" s="25" t="n">
        <f aca="false">IF(E32&gt;0,E10/E32,0)</f>
        <v>0.0151515151515152</v>
      </c>
      <c r="F40" s="17" t="s">
        <v>261</v>
      </c>
    </row>
    <row r="42" customFormat="false" ht="15" hidden="false" customHeight="false" outlineLevel="0" collapsed="false">
      <c r="A42" s="14" t="s">
        <v>262</v>
      </c>
      <c r="B42" s="4"/>
      <c r="C42" s="4"/>
      <c r="D42" s="4"/>
      <c r="E42" s="4"/>
      <c r="F42" s="4"/>
    </row>
    <row r="43" customFormat="false" ht="15" hidden="false" customHeight="false" outlineLevel="0" collapsed="false">
      <c r="A43" s="8" t="s">
        <v>263</v>
      </c>
      <c r="B43" s="16" t="s">
        <v>63</v>
      </c>
      <c r="C43" s="32" t="n">
        <f aca="false">Inputs!$B$9</f>
        <v>3.5</v>
      </c>
      <c r="D43" s="32" t="n">
        <f aca="false">Inputs!$B$9</f>
        <v>3.5</v>
      </c>
      <c r="E43" s="32" t="n">
        <f aca="false">Inputs!$B$9</f>
        <v>3.5</v>
      </c>
    </row>
    <row r="44" customFormat="false" ht="15" hidden="false" customHeight="false" outlineLevel="0" collapsed="false">
      <c r="A44" s="8" t="s">
        <v>264</v>
      </c>
      <c r="B44" s="16" t="s">
        <v>115</v>
      </c>
      <c r="C44" s="25" t="n">
        <f aca="false">IF(C43&gt;0,1-C12/C43,0)</f>
        <v>0.642857142857143</v>
      </c>
      <c r="D44" s="25" t="n">
        <f aca="false">IF(D43&gt;0,1-D12/D43,0)</f>
        <v>0.642857142857143</v>
      </c>
      <c r="E44" s="25" t="n">
        <f aca="false">IF(E43&gt;0,1-E12/E43,0)</f>
        <v>0.642857142857143</v>
      </c>
      <c r="F44" s="17" t="s">
        <v>265</v>
      </c>
    </row>
    <row r="45" customFormat="false" ht="15" hidden="false" customHeight="false" outlineLevel="0" collapsed="false">
      <c r="A45" s="5" t="s">
        <v>266</v>
      </c>
      <c r="B45" s="16" t="s">
        <v>63</v>
      </c>
      <c r="C45" s="38" t="n">
        <f aca="false">C43-C12</f>
        <v>2.25</v>
      </c>
      <c r="D45" s="38" t="n">
        <f aca="false">D43-D12</f>
        <v>2.25</v>
      </c>
      <c r="E45" s="38" t="n">
        <f aca="false">E43-E12</f>
        <v>2.25</v>
      </c>
      <c r="F45" s="17" t="s">
        <v>267</v>
      </c>
    </row>
    <row r="46" customFormat="false" ht="15" hidden="false" customHeight="false" outlineLevel="0" collapsed="false">
      <c r="A46" s="5" t="s">
        <v>268</v>
      </c>
      <c r="B46" s="16" t="s">
        <v>63</v>
      </c>
      <c r="C46" s="38" t="n">
        <f aca="false">IF(C13&gt;0,(C17*C43+C12)/(C17+1),C43)</f>
        <v>3.04712460063898</v>
      </c>
      <c r="D46" s="38" t="n">
        <f aca="false">IF(D13&gt;0,(D17*D43+D12)/(D17+1),D43)</f>
        <v>3.10643564356436</v>
      </c>
      <c r="E46" s="38" t="n">
        <f aca="false">IF(E13&gt;0,(E17*E43+E12)/(E17+1),E43)</f>
        <v>3.03006329113924</v>
      </c>
      <c r="F46" s="17" t="s">
        <v>269</v>
      </c>
    </row>
    <row r="47" customFormat="false" ht="15" hidden="false" customHeight="false" outlineLevel="0" collapsed="false">
      <c r="A47" s="8" t="s">
        <v>270</v>
      </c>
      <c r="B47" s="16" t="s">
        <v>63</v>
      </c>
      <c r="C47" s="37" t="n">
        <f aca="false">IF(C19&gt;0,(C16*C43+C32)/C19,0)</f>
        <v>3.04712460063898</v>
      </c>
      <c r="D47" s="37" t="n">
        <f aca="false">IF(D19&gt;0,(D16*D43+D32)/D19,0)</f>
        <v>3.10643564356436</v>
      </c>
      <c r="E47" s="37" t="n">
        <f aca="false">IF(E19&gt;0,(E16*E43+E32)/E19,0)</f>
        <v>3.03006329113924</v>
      </c>
      <c r="F47" s="17" t="s">
        <v>271</v>
      </c>
    </row>
    <row r="48" customFormat="false" ht="15" hidden="false" customHeight="false" outlineLevel="0" collapsed="false">
      <c r="A48" s="8" t="s">
        <v>272</v>
      </c>
      <c r="B48" s="16" t="s">
        <v>63</v>
      </c>
      <c r="C48" s="37" t="n">
        <f aca="false">C46-C12</f>
        <v>1.79712460063898</v>
      </c>
      <c r="D48" s="37" t="n">
        <f aca="false">D46-D12</f>
        <v>1.85643564356436</v>
      </c>
      <c r="E48" s="37" t="n">
        <f aca="false">E46-E12</f>
        <v>1.78006329113924</v>
      </c>
      <c r="F48" s="17" t="s">
        <v>273</v>
      </c>
    </row>
    <row r="49" customFormat="false" ht="15" hidden="false" customHeight="false" outlineLevel="0" collapsed="false">
      <c r="A49" s="8" t="s">
        <v>274</v>
      </c>
      <c r="B49" s="16" t="s">
        <v>63</v>
      </c>
      <c r="C49" s="37" t="n">
        <f aca="false">IF(C17&gt;0,C48/C17,0)</f>
        <v>0.452875399361022</v>
      </c>
      <c r="D49" s="37" t="n">
        <f aca="false">IF(D17&gt;0,D48/D17,0)</f>
        <v>0.393564356435644</v>
      </c>
      <c r="E49" s="37" t="n">
        <f aca="false">IF(E17&gt;0,E48/E17,0)</f>
        <v>0.469936708860759</v>
      </c>
      <c r="F49" s="17" t="s">
        <v>275</v>
      </c>
    </row>
    <row r="50" customFormat="false" ht="15" hidden="false" customHeight="false" outlineLevel="0" collapsed="false">
      <c r="A50" s="8" t="s">
        <v>276</v>
      </c>
      <c r="B50" s="16" t="s">
        <v>63</v>
      </c>
      <c r="C50" s="32" t="n">
        <f aca="false">Inputs!$B$22</f>
        <v>1</v>
      </c>
      <c r="D50" s="32" t="n">
        <f aca="false">Inputs!$B$22</f>
        <v>1</v>
      </c>
      <c r="E50" s="32" t="n">
        <f aca="false">Inputs!$B$22</f>
        <v>1</v>
      </c>
      <c r="F50" s="17" t="s">
        <v>277</v>
      </c>
    </row>
    <row r="51" customFormat="false" ht="15" hidden="false" customHeight="false" outlineLevel="0" collapsed="false">
      <c r="A51" s="8" t="s">
        <v>278</v>
      </c>
      <c r="B51" s="16" t="s">
        <v>246</v>
      </c>
      <c r="C51" s="36" t="str">
        <f aca="false">IF(C45&gt;C50,"YES","NO")</f>
        <v>YES</v>
      </c>
      <c r="D51" s="36" t="str">
        <f aca="false">IF(D45&gt;D50,"YES","NO")</f>
        <v>YES</v>
      </c>
      <c r="E51" s="36" t="str">
        <f aca="false">IF(E45&gt;E50,"YES","NO")</f>
        <v>YES</v>
      </c>
    </row>
    <row r="52" customFormat="false" ht="15" hidden="false" customHeight="false" outlineLevel="0" collapsed="false">
      <c r="A52" s="8" t="s">
        <v>279</v>
      </c>
      <c r="B52" s="16" t="s">
        <v>246</v>
      </c>
      <c r="C52" s="36" t="str">
        <f aca="false">IF(C48&gt;C50,"YES","NO")</f>
        <v>YES</v>
      </c>
      <c r="D52" s="36" t="str">
        <f aca="false">IF(D48&gt;D50,"YES","NO")</f>
        <v>YES</v>
      </c>
      <c r="E52" s="36" t="str">
        <f aca="false">IF(E48&gt;E50,"YES","NO")</f>
        <v>YES</v>
      </c>
      <c r="F52" s="17" t="s">
        <v>280</v>
      </c>
    </row>
    <row r="53" customFormat="false" ht="15" hidden="false" customHeight="false" outlineLevel="0" collapsed="false">
      <c r="A53" s="8" t="s">
        <v>281</v>
      </c>
      <c r="B53" s="16" t="s">
        <v>60</v>
      </c>
      <c r="C53" s="19" t="n">
        <f aca="false">C16*C43</f>
        <v>3500</v>
      </c>
      <c r="D53" s="19" t="n">
        <f aca="false">D16*D43</f>
        <v>3500</v>
      </c>
      <c r="E53" s="19" t="n">
        <f aca="false">E16*E43</f>
        <v>3500</v>
      </c>
    </row>
    <row r="54" customFormat="false" ht="15" hidden="false" customHeight="false" outlineLevel="0" collapsed="false">
      <c r="A54" s="8" t="s">
        <v>282</v>
      </c>
      <c r="B54" s="16" t="s">
        <v>60</v>
      </c>
      <c r="C54" s="19" t="n">
        <f aca="false">C19*C46</f>
        <v>3815</v>
      </c>
      <c r="D54" s="19" t="n">
        <f aca="false">D19*D46</f>
        <v>3765</v>
      </c>
      <c r="E54" s="19" t="n">
        <f aca="false">E19*E46</f>
        <v>3830</v>
      </c>
    </row>
    <row r="55" customFormat="false" ht="15" hidden="false" customHeight="false" outlineLevel="0" collapsed="false">
      <c r="A55" s="8" t="s">
        <v>283</v>
      </c>
      <c r="B55" s="16" t="s">
        <v>60</v>
      </c>
      <c r="C55" s="19" t="n">
        <f aca="false">C54-C53</f>
        <v>315</v>
      </c>
      <c r="D55" s="19" t="n">
        <f aca="false">D54-D53</f>
        <v>265</v>
      </c>
      <c r="E55" s="19" t="n">
        <f aca="false">E54-E53</f>
        <v>330</v>
      </c>
      <c r="F55" s="17" t="s">
        <v>284</v>
      </c>
    </row>
  </sheetData>
  <conditionalFormatting sqref="C5:E80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0">
      <formula>"CHECK"</formula>
    </cfRule>
    <cfRule type="cellIs" priority="4" operator="equal" aboveAverage="0" equalAverage="0" bottom="0" percent="0" rank="0" text="" dxfId="0">
      <formula>"DIFFERS"</formula>
    </cfRule>
    <cfRule type="cellIs" priority="5" operator="equal" aboveAverage="0" equalAverage="0" bottom="0" percent="0" rank="0" text="" dxfId="0">
      <formula>"No"</formula>
    </cfRule>
    <cfRule type="cellIs" priority="6" operator="equal" aboveAverage="0" equalAverage="0" bottom="0" percent="0" rank="0" text="" dxfId="1">
      <formula>"YES"</formula>
    </cfRule>
    <cfRule type="cellIs" priority="7" operator="equal" aboveAverage="0" equalAverage="0" bottom="0" percent="0" rank="0" text="" dxfId="1">
      <formula>"OK"</formula>
    </cfRule>
    <cfRule type="cellIs" priority="8" operator="equal" aboveAverage="0" equalAverage="0" bottom="0" percent="0" rank="0" text="" dxfId="1">
      <formula>"Matches slide"</formula>
    </cfRule>
    <cfRule type="cellIs" priority="9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"/>
    <col collapsed="false" customWidth="true" hidden="false" outlineLevel="0" max="8" min="3" style="0" width="19"/>
    <col collapsed="false" customWidth="true" hidden="false" outlineLevel="0" max="9" min="9" style="0" width="48"/>
    <col collapsed="false" customWidth="true" hidden="false" outlineLevel="0" max="12" min="10" style="0" width="16"/>
  </cols>
  <sheetData>
    <row r="1" customFormat="false" ht="17.35" hidden="false" customHeight="false" outlineLevel="0" collapsed="false">
      <c r="A1" s="11" t="s">
        <v>285</v>
      </c>
    </row>
    <row r="2" customFormat="false" ht="15" hidden="false" customHeight="false" outlineLevel="0" collapsed="false">
      <c r="A2" s="2" t="s">
        <v>286</v>
      </c>
    </row>
    <row r="4" customFormat="false" ht="30" hidden="false" customHeight="true" outlineLevel="0" collapsed="false">
      <c r="A4" s="12" t="s">
        <v>207</v>
      </c>
      <c r="B4" s="13" t="s">
        <v>56</v>
      </c>
      <c r="C4" s="13" t="s">
        <v>287</v>
      </c>
      <c r="D4" s="13" t="s">
        <v>288</v>
      </c>
      <c r="E4" s="13" t="s">
        <v>289</v>
      </c>
      <c r="F4" s="13" t="s">
        <v>290</v>
      </c>
      <c r="G4" s="13" t="s">
        <v>291</v>
      </c>
      <c r="H4" s="13" t="s">
        <v>292</v>
      </c>
      <c r="I4" s="13" t="s">
        <v>211</v>
      </c>
    </row>
    <row r="6" customFormat="false" ht="15" hidden="false" customHeight="false" outlineLevel="0" collapsed="false">
      <c r="A6" s="14" t="s">
        <v>293</v>
      </c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8" t="s">
        <v>294</v>
      </c>
      <c r="B7" s="16" t="s">
        <v>60</v>
      </c>
      <c r="C7" s="19" t="n">
        <f aca="false">INDEX('Rights Issue'!$C$7:$E$7,1,Inputs!$B$62)</f>
        <v>310</v>
      </c>
      <c r="D7" s="19" t="n">
        <f aca="false">INDEX('Rights Issue'!$C$7:$E$7,1,Inputs!$B$62)</f>
        <v>310</v>
      </c>
      <c r="E7" s="19" t="n">
        <f aca="false">INDEX('Rights Issue'!$C$7:$E$7,1,Inputs!$B$62)</f>
        <v>310</v>
      </c>
      <c r="F7" s="19" t="n">
        <f aca="false">INDEX('Rights Issue'!$C$7:$E$7,1,Inputs!$B$62)</f>
        <v>310</v>
      </c>
      <c r="G7" s="19" t="n">
        <f aca="false">INDEX('Rights Issue'!$C$7:$E$7,1,Inputs!$B$62)</f>
        <v>310</v>
      </c>
      <c r="H7" s="19" t="n">
        <f aca="false">INDEX('Rights Issue'!$C$7:$E$7,1,Inputs!$B$62)</f>
        <v>310</v>
      </c>
      <c r="I7" s="17" t="s">
        <v>295</v>
      </c>
    </row>
    <row r="8" customFormat="false" ht="15" hidden="false" customHeight="false" outlineLevel="0" collapsed="false">
      <c r="A8" s="8" t="s">
        <v>296</v>
      </c>
      <c r="B8" s="16" t="s">
        <v>115</v>
      </c>
      <c r="C8" s="24" t="n">
        <v>1</v>
      </c>
      <c r="D8" s="24" t="n">
        <v>0</v>
      </c>
      <c r="E8" s="24" t="n">
        <v>0</v>
      </c>
      <c r="F8" s="24" t="n">
        <v>0</v>
      </c>
      <c r="G8" s="24" t="n">
        <v>0</v>
      </c>
      <c r="H8" s="30" t="n">
        <f aca="false">Inputs!$B$64</f>
        <v>0.5</v>
      </c>
    </row>
    <row r="9" customFormat="false" ht="15" hidden="false" customHeight="false" outlineLevel="0" collapsed="false">
      <c r="A9" s="8" t="s">
        <v>297</v>
      </c>
      <c r="B9" s="16" t="s">
        <v>60</v>
      </c>
      <c r="C9" s="19" t="n">
        <f aca="false">C7*C8</f>
        <v>310</v>
      </c>
      <c r="D9" s="19" t="n">
        <f aca="false">D7*D8</f>
        <v>0</v>
      </c>
      <c r="E9" s="19" t="n">
        <f aca="false">E7*E8</f>
        <v>0</v>
      </c>
      <c r="F9" s="19" t="n">
        <f aca="false">F7*F8</f>
        <v>0</v>
      </c>
      <c r="G9" s="19" t="n">
        <f aca="false">G7*G8</f>
        <v>0</v>
      </c>
      <c r="H9" s="19" t="n">
        <f aca="false">H7*H8</f>
        <v>155</v>
      </c>
    </row>
    <row r="10" customFormat="false" ht="15" hidden="false" customHeight="false" outlineLevel="0" collapsed="false">
      <c r="A10" s="8" t="s">
        <v>298</v>
      </c>
      <c r="B10" s="16" t="s">
        <v>60</v>
      </c>
      <c r="C10" s="19" t="n">
        <f aca="false">C7-C9</f>
        <v>0</v>
      </c>
      <c r="D10" s="19" t="n">
        <f aca="false">D7-D9</f>
        <v>310</v>
      </c>
      <c r="E10" s="19" t="n">
        <f aca="false">E7-E9</f>
        <v>310</v>
      </c>
      <c r="F10" s="19" t="n">
        <f aca="false">F7-F9</f>
        <v>310</v>
      </c>
      <c r="G10" s="19" t="n">
        <f aca="false">G7-G9</f>
        <v>310</v>
      </c>
      <c r="H10" s="19" t="n">
        <f aca="false">H7-H9</f>
        <v>155</v>
      </c>
    </row>
    <row r="11" customFormat="false" ht="15" hidden="false" customHeight="false" outlineLevel="0" collapsed="false">
      <c r="A11" s="8" t="s">
        <v>299</v>
      </c>
      <c r="B11" s="16" t="s">
        <v>60</v>
      </c>
      <c r="C11" s="19" t="n">
        <f aca="false">IF(C9&gt;0,Inputs!$B$21,0)</f>
        <v>5</v>
      </c>
      <c r="D11" s="19" t="n">
        <f aca="false">IF(D9&gt;0,Inputs!$B$21,0)</f>
        <v>0</v>
      </c>
      <c r="E11" s="19" t="n">
        <f aca="false">IF(E9&gt;0,Inputs!$B$21,0)</f>
        <v>0</v>
      </c>
      <c r="F11" s="19" t="n">
        <f aca="false">IF(F9&gt;0,Inputs!$B$21,0)</f>
        <v>0</v>
      </c>
      <c r="G11" s="19" t="n">
        <f aca="false">IF(G9&gt;0,Inputs!$B$21,0)</f>
        <v>0</v>
      </c>
      <c r="H11" s="19" t="n">
        <f aca="false">IF(H9&gt;0,Inputs!$B$21,0)</f>
        <v>5</v>
      </c>
      <c r="I11" s="17" t="s">
        <v>300</v>
      </c>
    </row>
    <row r="12" customFormat="false" ht="15" hidden="false" customHeight="false" outlineLevel="0" collapsed="false">
      <c r="A12" s="8" t="s">
        <v>301</v>
      </c>
      <c r="B12" s="16" t="s">
        <v>60</v>
      </c>
      <c r="C12" s="15" t="n">
        <v>0</v>
      </c>
      <c r="D12" s="19" t="n">
        <f aca="false">IF(D10&gt;0,Inputs!$B$56,0)</f>
        <v>3</v>
      </c>
      <c r="E12" s="19" t="n">
        <f aca="false">IF(E10&gt;0,Inputs!$B$57,0)</f>
        <v>4</v>
      </c>
      <c r="F12" s="19" t="n">
        <f aca="false">IF(F10&gt;0,Inputs!$B$58,0)</f>
        <v>3.25</v>
      </c>
      <c r="G12" s="19" t="n">
        <f aca="false">IF(G10&gt;0,Inputs!$B$59,0)</f>
        <v>10</v>
      </c>
      <c r="H12" s="19" t="n">
        <f aca="false">IF(H10&gt;0,Inputs!$B$66,0)</f>
        <v>3</v>
      </c>
      <c r="I12" s="17" t="s">
        <v>302</v>
      </c>
    </row>
    <row r="13" customFormat="false" ht="15" hidden="false" customHeight="false" outlineLevel="0" collapsed="false">
      <c r="A13" s="5" t="s">
        <v>303</v>
      </c>
      <c r="B13" s="16" t="s">
        <v>60</v>
      </c>
      <c r="C13" s="31" t="n">
        <f aca="false">C11+C12</f>
        <v>5</v>
      </c>
      <c r="D13" s="31" t="n">
        <f aca="false">D11+D12</f>
        <v>3</v>
      </c>
      <c r="E13" s="31" t="n">
        <f aca="false">E11+E12</f>
        <v>4</v>
      </c>
      <c r="F13" s="31" t="n">
        <f aca="false">F11+F12</f>
        <v>3.25</v>
      </c>
      <c r="G13" s="31" t="n">
        <f aca="false">G11+G12</f>
        <v>10</v>
      </c>
      <c r="H13" s="31" t="n">
        <f aca="false">H11+H12</f>
        <v>8</v>
      </c>
      <c r="I13" s="17" t="s">
        <v>304</v>
      </c>
    </row>
    <row r="14" customFormat="false" ht="15" hidden="false" customHeight="false" outlineLevel="0" collapsed="false">
      <c r="A14" s="8" t="s">
        <v>305</v>
      </c>
      <c r="B14" s="16" t="s">
        <v>60</v>
      </c>
      <c r="C14" s="19" t="n">
        <f aca="false">IF(C9&gt;0,C9+C11,0)</f>
        <v>315</v>
      </c>
      <c r="D14" s="19" t="n">
        <f aca="false">IF(D9&gt;0,D9+D11,0)</f>
        <v>0</v>
      </c>
      <c r="E14" s="19" t="n">
        <f aca="false">IF(E9&gt;0,E9+E11,0)</f>
        <v>0</v>
      </c>
      <c r="F14" s="19" t="n">
        <f aca="false">IF(F9&gt;0,F9+F11,0)</f>
        <v>0</v>
      </c>
      <c r="G14" s="19" t="n">
        <f aca="false">IF(G9&gt;0,G9+G11,0)</f>
        <v>0</v>
      </c>
      <c r="H14" s="19" t="n">
        <f aca="false">IF(H9&gt;0,H9+H11,0)</f>
        <v>160</v>
      </c>
    </row>
    <row r="15" customFormat="false" ht="15" hidden="false" customHeight="false" outlineLevel="0" collapsed="false">
      <c r="A15" s="8" t="s">
        <v>306</v>
      </c>
      <c r="B15" s="16" t="s">
        <v>60</v>
      </c>
      <c r="C15" s="19" t="n">
        <f aca="false">IF(C10&gt;0,C10+C12,0)</f>
        <v>0</v>
      </c>
      <c r="D15" s="19" t="n">
        <f aca="false">IF(D10&gt;0,D10+D12,0)</f>
        <v>313</v>
      </c>
      <c r="E15" s="19" t="n">
        <f aca="false">IF(E10&gt;0,E10+E12,0)</f>
        <v>314</v>
      </c>
      <c r="F15" s="19" t="n">
        <f aca="false">IF(F10&gt;0,F10+F12,0)</f>
        <v>313.25</v>
      </c>
      <c r="G15" s="19" t="n">
        <f aca="false">IF(G10&gt;0,G10+G12,0)</f>
        <v>320</v>
      </c>
      <c r="H15" s="19" t="n">
        <f aca="false">IF(H10&gt;0,H10+H12,0)</f>
        <v>158</v>
      </c>
      <c r="I15" s="17" t="s">
        <v>307</v>
      </c>
    </row>
    <row r="16" customFormat="false" ht="15" hidden="false" customHeight="false" outlineLevel="0" collapsed="false">
      <c r="A16" s="8" t="s">
        <v>308</v>
      </c>
      <c r="B16" s="16" t="s">
        <v>66</v>
      </c>
      <c r="C16" s="19" t="n">
        <f aca="false">IF(Inputs!$B$18&gt;0,C14/Inputs!$B$18,0)</f>
        <v>252</v>
      </c>
      <c r="D16" s="19" t="n">
        <f aca="false">IF(Inputs!$B$18&gt;0,D14/Inputs!$B$18,0)</f>
        <v>0</v>
      </c>
      <c r="E16" s="19" t="n">
        <f aca="false">IF(Inputs!$B$18&gt;0,E14/Inputs!$B$18,0)</f>
        <v>0</v>
      </c>
      <c r="F16" s="19" t="n">
        <f aca="false">IF(Inputs!$B$18&gt;0,F14/Inputs!$B$18,0)</f>
        <v>0</v>
      </c>
      <c r="G16" s="19" t="n">
        <f aca="false">IF(Inputs!$B$18&gt;0,G14/Inputs!$B$18,0)</f>
        <v>0</v>
      </c>
      <c r="H16" s="19" t="n">
        <f aca="false">IF(Inputs!$B$18&gt;0,H14/Inputs!$B$18,0)</f>
        <v>128</v>
      </c>
    </row>
    <row r="17" customFormat="false" ht="15" hidden="false" customHeight="false" outlineLevel="0" collapsed="false">
      <c r="A17" s="8" t="s">
        <v>309</v>
      </c>
      <c r="B17" s="16" t="s">
        <v>115</v>
      </c>
      <c r="C17" s="25" t="n">
        <f aca="false">IF((C14+C15)&gt;0,C13/(C14+C15),0)</f>
        <v>0.0158730158730159</v>
      </c>
      <c r="D17" s="25" t="n">
        <f aca="false">IF((D14+D15)&gt;0,D13/(D14+D15),0)</f>
        <v>0.00958466453674121</v>
      </c>
      <c r="E17" s="25" t="n">
        <f aca="false">IF((E14+E15)&gt;0,E13/(E14+E15),0)</f>
        <v>0.0127388535031847</v>
      </c>
      <c r="F17" s="25" t="n">
        <f aca="false">IF((F14+F15)&gt;0,F13/(F14+F15),0)</f>
        <v>0.0103750997605746</v>
      </c>
      <c r="G17" s="25" t="n">
        <f aca="false">IF((G14+G15)&gt;0,G13/(G14+G15),0)</f>
        <v>0.03125</v>
      </c>
      <c r="H17" s="25" t="n">
        <f aca="false">IF((H14+H15)&gt;0,H13/(H14+H15),0)</f>
        <v>0.0251572327044025</v>
      </c>
    </row>
    <row r="19" customFormat="false" ht="15" hidden="false" customHeight="false" outlineLevel="0" collapsed="false">
      <c r="A19" s="14" t="s">
        <v>310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8" t="s">
        <v>311</v>
      </c>
      <c r="B20" s="16" t="s">
        <v>115</v>
      </c>
      <c r="C20" s="25" t="n">
        <f aca="false">IF(C9&gt;0,Inputs!$B$74,0)</f>
        <v>0.161350111565265</v>
      </c>
      <c r="D20" s="25" t="n">
        <f aca="false">IF(D9&gt;0,Inputs!$B$74,0)</f>
        <v>0</v>
      </c>
      <c r="E20" s="25" t="n">
        <f aca="false">IF(E9&gt;0,Inputs!$B$74,0)</f>
        <v>0</v>
      </c>
      <c r="F20" s="25" t="n">
        <f aca="false">IF(F9&gt;0,Inputs!$B$74,0)</f>
        <v>0</v>
      </c>
      <c r="G20" s="25" t="n">
        <f aca="false">IF(G9&gt;0,Inputs!$B$74,0)</f>
        <v>0</v>
      </c>
      <c r="H20" s="25" t="n">
        <f aca="false">IF(H9&gt;0,Inputs!$B$74,0)</f>
        <v>0.161350111565265</v>
      </c>
      <c r="I20" s="17" t="s">
        <v>312</v>
      </c>
    </row>
    <row r="21" customFormat="false" ht="15" hidden="false" customHeight="false" outlineLevel="0" collapsed="false">
      <c r="A21" s="8" t="s">
        <v>313</v>
      </c>
      <c r="B21" s="16" t="s">
        <v>115</v>
      </c>
      <c r="C21" s="24" t="n">
        <v>0</v>
      </c>
      <c r="D21" s="25" t="n">
        <f aca="false">IF(D10&gt;0,Inputs!$B$47,0)</f>
        <v>0.0575</v>
      </c>
      <c r="E21" s="25" t="n">
        <f aca="false">IF(E10&gt;0,Inputs!$B$48,0)</f>
        <v>0.07</v>
      </c>
      <c r="F21" s="25" t="n">
        <f aca="false">IF(F10&gt;0,Inputs!$B$49,0)</f>
        <v>0.0575</v>
      </c>
      <c r="G21" s="25" t="n">
        <f aca="false">IF(G10&gt;0,Inputs!$B$50,0)</f>
        <v>0.06</v>
      </c>
      <c r="H21" s="25" t="n">
        <f aca="false">IF(H10&gt;0,Inputs!$B$65,0)</f>
        <v>0.0575</v>
      </c>
      <c r="I21" s="17" t="s">
        <v>314</v>
      </c>
    </row>
    <row r="22" customFormat="false" ht="15" hidden="false" customHeight="false" outlineLevel="0" collapsed="false">
      <c r="A22" s="8" t="s">
        <v>315</v>
      </c>
      <c r="B22" s="16" t="s">
        <v>115</v>
      </c>
      <c r="C22" s="25" t="n">
        <f aca="false">C21*(1-Inputs!$B$82)</f>
        <v>0</v>
      </c>
      <c r="D22" s="25" t="n">
        <f aca="false">D21*(1-Inputs!$B$82)</f>
        <v>0.043125</v>
      </c>
      <c r="E22" s="25" t="n">
        <f aca="false">E21*(1-Inputs!$B$82)</f>
        <v>0.0525</v>
      </c>
      <c r="F22" s="25" t="n">
        <f aca="false">F21*(1-Inputs!$B$82)</f>
        <v>0.043125</v>
      </c>
      <c r="G22" s="25" t="n">
        <f aca="false">G21*(1-Inputs!$B$82)</f>
        <v>0.045</v>
      </c>
      <c r="H22" s="25" t="n">
        <f aca="false">H21*(1-Inputs!$B$82)</f>
        <v>0.043125</v>
      </c>
      <c r="I22" s="17" t="s">
        <v>316</v>
      </c>
    </row>
    <row r="23" customFormat="false" ht="15" hidden="false" customHeight="false" outlineLevel="0" collapsed="false">
      <c r="A23" s="5" t="s">
        <v>317</v>
      </c>
      <c r="B23" s="16" t="s">
        <v>115</v>
      </c>
      <c r="C23" s="39" t="n">
        <f aca="false">C8*C20+(1-C8)*C22</f>
        <v>0.161350111565265</v>
      </c>
      <c r="D23" s="39" t="n">
        <f aca="false">D8*D20+(1-D8)*D22</f>
        <v>0.043125</v>
      </c>
      <c r="E23" s="39" t="n">
        <f aca="false">E8*E20+(1-E8)*E22</f>
        <v>0.0525</v>
      </c>
      <c r="F23" s="39" t="n">
        <f aca="false">F8*F20+(1-F8)*F22</f>
        <v>0.043125</v>
      </c>
      <c r="G23" s="39" t="n">
        <f aca="false">G8*G20+(1-G8)*G22</f>
        <v>0.045</v>
      </c>
      <c r="H23" s="39" t="n">
        <f aca="false">H8*H20+(1-H8)*H22</f>
        <v>0.102237555782632</v>
      </c>
      <c r="I23" s="17" t="s">
        <v>318</v>
      </c>
    </row>
    <row r="24" customFormat="false" ht="15" hidden="false" customHeight="false" outlineLevel="0" collapsed="false">
      <c r="A24" s="8" t="s">
        <v>319</v>
      </c>
      <c r="B24" s="16" t="s">
        <v>60</v>
      </c>
      <c r="C24" s="29" t="n">
        <f aca="false">C16*Inputs!$B$73</f>
        <v>18.6760734631239</v>
      </c>
      <c r="D24" s="29" t="n">
        <f aca="false">D16*Inputs!$B$73</f>
        <v>0</v>
      </c>
      <c r="E24" s="29" t="n">
        <f aca="false">E16*Inputs!$B$73</f>
        <v>0</v>
      </c>
      <c r="F24" s="29" t="n">
        <f aca="false">F16*Inputs!$B$73</f>
        <v>0</v>
      </c>
      <c r="G24" s="29" t="n">
        <f aca="false">G16*Inputs!$B$73</f>
        <v>0</v>
      </c>
      <c r="H24" s="29" t="n">
        <f aca="false">H16*Inputs!$B$73</f>
        <v>9.48625953682483</v>
      </c>
      <c r="I24" s="17" t="s">
        <v>320</v>
      </c>
    </row>
    <row r="25" customFormat="false" ht="15" hidden="false" customHeight="false" outlineLevel="0" collapsed="false">
      <c r="A25" s="8" t="s">
        <v>321</v>
      </c>
      <c r="B25" s="16" t="s">
        <v>60</v>
      </c>
      <c r="C25" s="19" t="n">
        <f aca="false">C15*C21</f>
        <v>0</v>
      </c>
      <c r="D25" s="19" t="n">
        <f aca="false">D15*D21</f>
        <v>17.9975</v>
      </c>
      <c r="E25" s="19" t="n">
        <f aca="false">E15*E21</f>
        <v>21.98</v>
      </c>
      <c r="F25" s="19" t="n">
        <f aca="false">F15*F21</f>
        <v>18.011875</v>
      </c>
      <c r="G25" s="19" t="n">
        <f aca="false">G15*G21</f>
        <v>19.2</v>
      </c>
      <c r="H25" s="19" t="n">
        <f aca="false">H15*H21</f>
        <v>9.085</v>
      </c>
    </row>
    <row r="26" customFormat="false" ht="15" hidden="false" customHeight="false" outlineLevel="0" collapsed="false">
      <c r="A26" s="8" t="s">
        <v>322</v>
      </c>
      <c r="B26" s="16" t="s">
        <v>60</v>
      </c>
      <c r="C26" s="29" t="n">
        <f aca="false">-C25*Inputs!$B$82</f>
        <v>-0</v>
      </c>
      <c r="D26" s="29" t="n">
        <f aca="false">-D25*Inputs!$B$82</f>
        <v>-4.499375</v>
      </c>
      <c r="E26" s="29" t="n">
        <f aca="false">-E25*Inputs!$B$82</f>
        <v>-5.495</v>
      </c>
      <c r="F26" s="29" t="n">
        <f aca="false">-F25*Inputs!$B$82</f>
        <v>-4.50296875</v>
      </c>
      <c r="G26" s="29" t="n">
        <f aca="false">-G25*Inputs!$B$82</f>
        <v>-4.8</v>
      </c>
      <c r="H26" s="29" t="n">
        <f aca="false">-H25*Inputs!$B$82</f>
        <v>-2.27125</v>
      </c>
    </row>
    <row r="27" customFormat="false" ht="15" hidden="false" customHeight="false" outlineLevel="0" collapsed="false">
      <c r="A27" s="5" t="s">
        <v>323</v>
      </c>
      <c r="B27" s="16" t="s">
        <v>60</v>
      </c>
      <c r="C27" s="31" t="n">
        <f aca="false">C24+C25+C26</f>
        <v>18.6760734631239</v>
      </c>
      <c r="D27" s="31" t="n">
        <f aca="false">D24+D25+D26</f>
        <v>13.498125</v>
      </c>
      <c r="E27" s="31" t="n">
        <f aca="false">E24+E25+E26</f>
        <v>16.485</v>
      </c>
      <c r="F27" s="31" t="n">
        <f aca="false">F24+F25+F26</f>
        <v>13.50890625</v>
      </c>
      <c r="G27" s="31" t="n">
        <f aca="false">G24+G25+G26</f>
        <v>14.4</v>
      </c>
      <c r="H27" s="31" t="n">
        <f aca="false">H24+H25+H26</f>
        <v>16.3000095368248</v>
      </c>
    </row>
    <row r="29" customFormat="false" ht="15" hidden="false" customHeight="false" outlineLevel="0" collapsed="false">
      <c r="A29" s="14" t="s">
        <v>324</v>
      </c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8" t="s">
        <v>325</v>
      </c>
      <c r="B30" s="16" t="s">
        <v>60</v>
      </c>
      <c r="C30" s="19" t="n">
        <f aca="false">Inputs!$B$12+C9</f>
        <v>2235</v>
      </c>
      <c r="D30" s="19" t="n">
        <f aca="false">Inputs!$B$12+D9</f>
        <v>1925</v>
      </c>
      <c r="E30" s="19" t="n">
        <f aca="false">Inputs!$B$12+E9</f>
        <v>1925</v>
      </c>
      <c r="F30" s="19" t="n">
        <f aca="false">Inputs!$B$12+F9</f>
        <v>1925</v>
      </c>
      <c r="G30" s="19" t="n">
        <f aca="false">Inputs!$B$12+G9</f>
        <v>1925</v>
      </c>
      <c r="H30" s="19" t="n">
        <f aca="false">Inputs!$B$12+H9</f>
        <v>2080</v>
      </c>
      <c r="I30" s="17" t="s">
        <v>326</v>
      </c>
    </row>
    <row r="31" customFormat="false" ht="15" hidden="false" customHeight="false" outlineLevel="0" collapsed="false">
      <c r="A31" s="8" t="s">
        <v>327</v>
      </c>
      <c r="B31" s="16" t="s">
        <v>60</v>
      </c>
      <c r="C31" s="19" t="n">
        <f aca="false">Inputs!$B$15+C15</f>
        <v>700</v>
      </c>
      <c r="D31" s="19" t="n">
        <f aca="false">Inputs!$B$15+D15</f>
        <v>1013</v>
      </c>
      <c r="E31" s="19" t="n">
        <f aca="false">Inputs!$B$15+E15</f>
        <v>1014</v>
      </c>
      <c r="F31" s="19" t="n">
        <f aca="false">Inputs!$B$15+F15</f>
        <v>1013.25</v>
      </c>
      <c r="G31" s="19" t="n">
        <f aca="false">Inputs!$B$15+G15</f>
        <v>1020</v>
      </c>
      <c r="H31" s="19" t="n">
        <f aca="false">Inputs!$B$15+H15</f>
        <v>858</v>
      </c>
      <c r="I31" s="17" t="s">
        <v>328</v>
      </c>
    </row>
    <row r="32" customFormat="false" ht="15" hidden="false" customHeight="false" outlineLevel="0" collapsed="false">
      <c r="A32" s="5" t="s">
        <v>329</v>
      </c>
      <c r="B32" s="16" t="s">
        <v>115</v>
      </c>
      <c r="C32" s="39" t="n">
        <f aca="false">IF(C30&gt;0,C31/C30,0)</f>
        <v>0.313199105145414</v>
      </c>
      <c r="D32" s="39" t="n">
        <f aca="false">IF(D30&gt;0,D31/D30,0)</f>
        <v>0.526233766233766</v>
      </c>
      <c r="E32" s="39" t="n">
        <f aca="false">IF(E30&gt;0,E31/E30,0)</f>
        <v>0.526753246753247</v>
      </c>
      <c r="F32" s="39" t="n">
        <f aca="false">IF(F30&gt;0,F31/F30,0)</f>
        <v>0.526363636363636</v>
      </c>
      <c r="G32" s="39" t="n">
        <f aca="false">IF(G30&gt;0,G31/G30,0)</f>
        <v>0.52987012987013</v>
      </c>
      <c r="H32" s="39" t="n">
        <f aca="false">IF(H30&gt;0,H31/H30,0)</f>
        <v>0.4125</v>
      </c>
      <c r="I32" s="17" t="s">
        <v>330</v>
      </c>
    </row>
    <row r="33" customFormat="false" ht="15" hidden="false" customHeight="false" outlineLevel="0" collapsed="false">
      <c r="A33" s="8" t="s">
        <v>331</v>
      </c>
      <c r="B33" s="16" t="s">
        <v>115</v>
      </c>
      <c r="C33" s="25" t="n">
        <f aca="false">IF((C30+C31)&gt;0,C31/(C30+C31),0)</f>
        <v>0.238500851788756</v>
      </c>
      <c r="D33" s="25" t="n">
        <f aca="false">IF((D30+D31)&gt;0,D31/(D30+D31),0)</f>
        <v>0.344792375765827</v>
      </c>
      <c r="E33" s="25" t="n">
        <f aca="false">IF((E30+E31)&gt;0,E31/(E30+E31),0)</f>
        <v>0.345015311330385</v>
      </c>
      <c r="F33" s="25" t="n">
        <f aca="false">IF((F30+F31)&gt;0,F31/(F30+F31),0)</f>
        <v>0.344848123883264</v>
      </c>
      <c r="G33" s="25" t="n">
        <f aca="false">IF((G30+G31)&gt;0,G31/(G30+G31),0)</f>
        <v>0.34634974533107</v>
      </c>
      <c r="H33" s="25" t="n">
        <f aca="false">IF((H30+H31)&gt;0,H31/(H30+H31),0)</f>
        <v>0.292035398230089</v>
      </c>
      <c r="I33" s="17" t="s">
        <v>332</v>
      </c>
    </row>
    <row r="34" customFormat="false" ht="15" hidden="false" customHeight="false" outlineLevel="0" collapsed="false">
      <c r="A34" s="8" t="s">
        <v>333</v>
      </c>
      <c r="B34" s="16" t="s">
        <v>115</v>
      </c>
      <c r="C34" s="25" t="n">
        <f aca="false">C32-Inputs!$B$15/Inputs!$B$12</f>
        <v>-0.0504372584909498</v>
      </c>
      <c r="D34" s="25" t="n">
        <f aca="false">D32-Inputs!$B$15/Inputs!$B$12</f>
        <v>0.162597402597403</v>
      </c>
      <c r="E34" s="25" t="n">
        <f aca="false">E32-Inputs!$B$15/Inputs!$B$12</f>
        <v>0.163116883116883</v>
      </c>
      <c r="F34" s="25" t="n">
        <f aca="false">F32-Inputs!$B$15/Inputs!$B$12</f>
        <v>0.162727272727273</v>
      </c>
      <c r="G34" s="25" t="n">
        <f aca="false">G32-Inputs!$B$15/Inputs!$B$12</f>
        <v>0.166233766233766</v>
      </c>
      <c r="H34" s="25" t="n">
        <f aca="false">H32-Inputs!$B$15/Inputs!$B$12</f>
        <v>0.0488636363636363</v>
      </c>
    </row>
    <row r="36" customFormat="false" ht="15" hidden="false" customHeight="false" outlineLevel="0" collapsed="false">
      <c r="A36" s="14" t="s">
        <v>334</v>
      </c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8" t="s">
        <v>335</v>
      </c>
      <c r="B37" s="16" t="s">
        <v>60</v>
      </c>
      <c r="C37" s="29" t="n">
        <f aca="false">Inputs!$B$81</f>
        <v>41</v>
      </c>
      <c r="D37" s="29" t="n">
        <f aca="false">Inputs!$B$81</f>
        <v>41</v>
      </c>
      <c r="E37" s="29" t="n">
        <f aca="false">Inputs!$B$81</f>
        <v>41</v>
      </c>
      <c r="F37" s="29" t="n">
        <f aca="false">Inputs!$B$81</f>
        <v>41</v>
      </c>
      <c r="G37" s="29" t="n">
        <f aca="false">Inputs!$B$81</f>
        <v>41</v>
      </c>
      <c r="H37" s="29" t="n">
        <f aca="false">Inputs!$B$81</f>
        <v>41</v>
      </c>
      <c r="I37" s="17" t="s">
        <v>336</v>
      </c>
    </row>
    <row r="38" customFormat="false" ht="15" hidden="false" customHeight="false" outlineLevel="0" collapsed="false">
      <c r="A38" s="8" t="s">
        <v>337</v>
      </c>
      <c r="B38" s="16" t="s">
        <v>60</v>
      </c>
      <c r="C38" s="19" t="n">
        <f aca="false">C37+C25</f>
        <v>41</v>
      </c>
      <c r="D38" s="19" t="n">
        <f aca="false">D37+D25</f>
        <v>58.9975</v>
      </c>
      <c r="E38" s="19" t="n">
        <f aca="false">E37+E25</f>
        <v>62.98</v>
      </c>
      <c r="F38" s="19" t="n">
        <f aca="false">F37+F25</f>
        <v>59.011875</v>
      </c>
      <c r="G38" s="19" t="n">
        <f aca="false">G37+G25</f>
        <v>60.2</v>
      </c>
      <c r="H38" s="19" t="n">
        <f aca="false">H37+H25</f>
        <v>50.085</v>
      </c>
    </row>
    <row r="39" customFormat="false" ht="15" hidden="false" customHeight="false" outlineLevel="0" collapsed="false">
      <c r="A39" s="8" t="s">
        <v>338</v>
      </c>
      <c r="B39" s="16" t="s">
        <v>60</v>
      </c>
      <c r="C39" s="29" t="n">
        <f aca="false">Inputs!$B$80</f>
        <v>544</v>
      </c>
      <c r="D39" s="29" t="n">
        <f aca="false">Inputs!$B$80</f>
        <v>544</v>
      </c>
      <c r="E39" s="29" t="n">
        <f aca="false">Inputs!$B$80</f>
        <v>544</v>
      </c>
      <c r="F39" s="29" t="n">
        <f aca="false">Inputs!$B$80</f>
        <v>544</v>
      </c>
      <c r="G39" s="29" t="n">
        <f aca="false">Inputs!$B$80</f>
        <v>544</v>
      </c>
      <c r="H39" s="29" t="n">
        <f aca="false">Inputs!$B$80</f>
        <v>544</v>
      </c>
      <c r="I39" s="17" t="s">
        <v>339</v>
      </c>
    </row>
    <row r="40" customFormat="false" ht="22.35" hidden="false" customHeight="false" outlineLevel="0" collapsed="false">
      <c r="A40" s="5" t="s">
        <v>340</v>
      </c>
      <c r="B40" s="16" t="s">
        <v>230</v>
      </c>
      <c r="C40" s="40" t="n">
        <f aca="false">IF(C38&gt;0,C39/C38,0)</f>
        <v>13.2682926829268</v>
      </c>
      <c r="D40" s="40" t="n">
        <f aca="false">IF(D38&gt;0,D39/D38,0)</f>
        <v>9.2207296919361</v>
      </c>
      <c r="E40" s="40" t="n">
        <f aca="false">IF(E38&gt;0,E39/E38,0)</f>
        <v>8.63766275007939</v>
      </c>
      <c r="F40" s="40" t="n">
        <f aca="false">IF(F38&gt;0,F39/F38,0)</f>
        <v>9.21848356792595</v>
      </c>
      <c r="G40" s="40" t="n">
        <f aca="false">IF(G38&gt;0,G39/G38,0)</f>
        <v>9.03654485049834</v>
      </c>
      <c r="H40" s="40" t="n">
        <f aca="false">IF(H38&gt;0,H39/H38,0)</f>
        <v>10.8615353898373</v>
      </c>
      <c r="I40" s="17" t="s">
        <v>341</v>
      </c>
    </row>
    <row r="41" customFormat="false" ht="39.75" hidden="false" customHeight="true" outlineLevel="0" collapsed="false">
      <c r="A41" s="8" t="s">
        <v>342</v>
      </c>
      <c r="B41" s="16" t="s">
        <v>97</v>
      </c>
      <c r="C41" s="41" t="s">
        <v>343</v>
      </c>
      <c r="D41" s="41" t="s">
        <v>344</v>
      </c>
      <c r="E41" s="41" t="s">
        <v>344</v>
      </c>
      <c r="F41" s="41" t="s">
        <v>345</v>
      </c>
      <c r="G41" s="41" t="s">
        <v>346</v>
      </c>
      <c r="H41" s="41" t="s">
        <v>347</v>
      </c>
    </row>
    <row r="43" customFormat="false" ht="15" hidden="false" customHeight="false" outlineLevel="0" collapsed="false">
      <c r="A43" s="14" t="s">
        <v>348</v>
      </c>
      <c r="B43" s="4"/>
      <c r="C43" s="4"/>
      <c r="D43" s="4"/>
      <c r="E43" s="4"/>
      <c r="F43" s="4"/>
      <c r="G43" s="4"/>
      <c r="H43" s="4"/>
      <c r="I43" s="4"/>
    </row>
    <row r="44" customFormat="false" ht="39.75" hidden="false" customHeight="true" outlineLevel="0" collapsed="false">
      <c r="A44" s="8" t="s">
        <v>349</v>
      </c>
      <c r="B44" s="16" t="s">
        <v>97</v>
      </c>
      <c r="C44" s="41" t="s">
        <v>350</v>
      </c>
      <c r="D44" s="41" t="s">
        <v>351</v>
      </c>
      <c r="E44" s="41" t="s">
        <v>351</v>
      </c>
      <c r="F44" s="41" t="s">
        <v>351</v>
      </c>
      <c r="G44" s="41" t="s">
        <v>351</v>
      </c>
      <c r="H44" s="41" t="s">
        <v>352</v>
      </c>
    </row>
    <row r="45" customFormat="false" ht="39.75" hidden="false" customHeight="true" outlineLevel="0" collapsed="false">
      <c r="A45" s="8" t="s">
        <v>353</v>
      </c>
      <c r="B45" s="16" t="s">
        <v>97</v>
      </c>
      <c r="C45" s="41" t="s">
        <v>351</v>
      </c>
      <c r="D45" s="41" t="s">
        <v>354</v>
      </c>
      <c r="E45" s="41" t="s">
        <v>355</v>
      </c>
      <c r="F45" s="41" t="s">
        <v>356</v>
      </c>
      <c r="G45" s="41" t="s">
        <v>357</v>
      </c>
      <c r="H45" s="41" t="s">
        <v>358</v>
      </c>
    </row>
    <row r="46" customFormat="false" ht="39.75" hidden="false" customHeight="true" outlineLevel="0" collapsed="false">
      <c r="A46" s="8" t="s">
        <v>359</v>
      </c>
      <c r="B46" s="16" t="s">
        <v>97</v>
      </c>
      <c r="C46" s="41" t="s">
        <v>351</v>
      </c>
      <c r="D46" s="41" t="s">
        <v>351</v>
      </c>
      <c r="E46" s="41" t="s">
        <v>351</v>
      </c>
      <c r="F46" s="41" t="s">
        <v>360</v>
      </c>
      <c r="G46" s="41" t="s">
        <v>361</v>
      </c>
      <c r="H46" s="41" t="s">
        <v>358</v>
      </c>
      <c r="I46" s="17" t="s">
        <v>362</v>
      </c>
    </row>
    <row r="47" customFormat="false" ht="39.75" hidden="false" customHeight="true" outlineLevel="0" collapsed="false">
      <c r="A47" s="8" t="s">
        <v>363</v>
      </c>
      <c r="B47" s="16" t="s">
        <v>97</v>
      </c>
      <c r="C47" s="41" t="s">
        <v>364</v>
      </c>
      <c r="D47" s="41" t="s">
        <v>365</v>
      </c>
      <c r="E47" s="41" t="s">
        <v>365</v>
      </c>
      <c r="F47" s="41" t="s">
        <v>365</v>
      </c>
      <c r="G47" s="41" t="s">
        <v>366</v>
      </c>
      <c r="H47" s="41" t="s">
        <v>367</v>
      </c>
    </row>
    <row r="50" customFormat="false" ht="15" hidden="false" customHeight="false" outlineLevel="0" collapsed="false">
      <c r="A50" s="14" t="s">
        <v>368</v>
      </c>
      <c r="B50" s="4"/>
      <c r="C50" s="4"/>
      <c r="D50" s="4"/>
      <c r="E50" s="4"/>
      <c r="F50" s="4"/>
      <c r="G50" s="4"/>
      <c r="H50" s="4"/>
      <c r="I50" s="4"/>
    </row>
    <row r="51" customFormat="false" ht="30" hidden="false" customHeight="true" outlineLevel="0" collapsed="false">
      <c r="A51" s="12" t="s">
        <v>369</v>
      </c>
      <c r="B51" s="13"/>
      <c r="C51" s="13" t="s">
        <v>297</v>
      </c>
      <c r="D51" s="13" t="s">
        <v>298</v>
      </c>
      <c r="E51" s="13" t="s">
        <v>370</v>
      </c>
      <c r="F51" s="13" t="s">
        <v>371</v>
      </c>
      <c r="G51" s="13" t="s">
        <v>372</v>
      </c>
      <c r="H51" s="13" t="s">
        <v>373</v>
      </c>
      <c r="I51" s="13" t="s">
        <v>374</v>
      </c>
      <c r="J51" s="13" t="s">
        <v>375</v>
      </c>
      <c r="K51" s="13" t="s">
        <v>323</v>
      </c>
      <c r="L51" s="13" t="s">
        <v>376</v>
      </c>
    </row>
    <row r="52" customFormat="false" ht="15" hidden="false" customHeight="false" outlineLevel="0" collapsed="false">
      <c r="A52" s="42" t="n">
        <v>0</v>
      </c>
      <c r="C52" s="19" t="n">
        <f aca="false">$C$7*(1-A52)</f>
        <v>310</v>
      </c>
      <c r="D52" s="19" t="n">
        <f aca="false">$C$7*A52</f>
        <v>0</v>
      </c>
      <c r="E52" s="19" t="n">
        <f aca="false">IF(D52&gt;0,D52+Inputs!$B$66,0)</f>
        <v>0</v>
      </c>
      <c r="F52" s="19" t="n">
        <f aca="false">IF(C52&gt;0,Inputs!$B$21,0)+IF(D52&gt;0,Inputs!$B$66,0)</f>
        <v>5</v>
      </c>
      <c r="G52" s="19" t="n">
        <f aca="false">IF(C52&gt;0,(C52+Inputs!$B$21)/Inputs!$B$18,0)</f>
        <v>252</v>
      </c>
      <c r="H52" s="25" t="n">
        <f aca="false">(Inputs!$B$15+E52)/(Inputs!$B$12+C52)</f>
        <v>0.313199105145414</v>
      </c>
      <c r="I52" s="33" t="n">
        <f aca="false">Inputs!$B$80/(Inputs!$B$81+E52*Inputs!$B$65)</f>
        <v>13.2682926829268</v>
      </c>
      <c r="J52" s="25" t="n">
        <f aca="false">(1-A52)*Inputs!$B$74+A52*Inputs!$B$65*(1-Inputs!$B$82)</f>
        <v>0.161350111565265</v>
      </c>
      <c r="K52" s="19" t="n">
        <f aca="false">G52*Inputs!$B$73+E52*Inputs!$B$65*(1-Inputs!$B$82)</f>
        <v>18.6760734631239</v>
      </c>
      <c r="L52" s="25" t="n">
        <f aca="false">Inputs!$B$84*Inputs!$B$8/(Inputs!$B$8+G52)</f>
        <v>0.0399361022364217</v>
      </c>
    </row>
    <row r="53" customFormat="false" ht="15" hidden="false" customHeight="false" outlineLevel="0" collapsed="false">
      <c r="A53" s="42" t="n">
        <v>0.1</v>
      </c>
      <c r="C53" s="19" t="n">
        <f aca="false">$C$7*(1-A53)</f>
        <v>279</v>
      </c>
      <c r="D53" s="19" t="n">
        <f aca="false">$C$7*A53</f>
        <v>31</v>
      </c>
      <c r="E53" s="19" t="n">
        <f aca="false">IF(D53&gt;0,D53+Inputs!$B$66,0)</f>
        <v>34</v>
      </c>
      <c r="F53" s="19" t="n">
        <f aca="false">IF(C53&gt;0,Inputs!$B$21,0)+IF(D53&gt;0,Inputs!$B$66,0)</f>
        <v>8</v>
      </c>
      <c r="G53" s="19" t="n">
        <f aca="false">IF(C53&gt;0,(C53+Inputs!$B$21)/Inputs!$B$18,0)</f>
        <v>227.2</v>
      </c>
      <c r="H53" s="25" t="n">
        <f aca="false">(Inputs!$B$15+E53)/(Inputs!$B$12+C53)</f>
        <v>0.333030852994555</v>
      </c>
      <c r="I53" s="33" t="n">
        <f aca="false">Inputs!$B$80/(Inputs!$B$81+E53*Inputs!$B$65)</f>
        <v>12.6644162495635</v>
      </c>
      <c r="J53" s="25" t="n">
        <f aca="false">(1-A53)*Inputs!$B$74+A53*Inputs!$B$65*(1-Inputs!$B$82)</f>
        <v>0.149527600408738</v>
      </c>
      <c r="K53" s="19" t="n">
        <f aca="false">G53*Inputs!$B$73+E53*Inputs!$B$65*(1-Inputs!$B$82)</f>
        <v>18.3043606778641</v>
      </c>
      <c r="L53" s="25" t="n">
        <f aca="false">Inputs!$B$84*Inputs!$B$8/(Inputs!$B$8+G53)</f>
        <v>0.0407431551499348</v>
      </c>
    </row>
    <row r="54" customFormat="false" ht="15" hidden="false" customHeight="false" outlineLevel="0" collapsed="false">
      <c r="A54" s="42" t="n">
        <v>0.2</v>
      </c>
      <c r="C54" s="19" t="n">
        <f aca="false">$C$7*(1-A54)</f>
        <v>248</v>
      </c>
      <c r="D54" s="19" t="n">
        <f aca="false">$C$7*A54</f>
        <v>62</v>
      </c>
      <c r="E54" s="19" t="n">
        <f aca="false">IF(D54&gt;0,D54+Inputs!$B$66,0)</f>
        <v>65</v>
      </c>
      <c r="F54" s="19" t="n">
        <f aca="false">IF(C54&gt;0,Inputs!$B$21,0)+IF(D54&gt;0,Inputs!$B$66,0)</f>
        <v>8</v>
      </c>
      <c r="G54" s="19" t="n">
        <f aca="false">IF(C54&gt;0,(C54+Inputs!$B$21)/Inputs!$B$18,0)</f>
        <v>202.4</v>
      </c>
      <c r="H54" s="25" t="n">
        <f aca="false">(Inputs!$B$15+E54)/(Inputs!$B$12+C54)</f>
        <v>0.352047860101243</v>
      </c>
      <c r="I54" s="33" t="n">
        <f aca="false">Inputs!$B$80/(Inputs!$B$81+E54*Inputs!$B$65)</f>
        <v>12.1598211791003</v>
      </c>
      <c r="J54" s="25" t="n">
        <f aca="false">(1-A54)*Inputs!$B$74+A54*Inputs!$B$65*(1-Inputs!$B$82)</f>
        <v>0.137705089252212</v>
      </c>
      <c r="K54" s="19" t="n">
        <f aca="false">G54*Inputs!$B$73+E54*Inputs!$B$65*(1-Inputs!$B$82)</f>
        <v>17.8032728926043</v>
      </c>
      <c r="L54" s="25" t="n">
        <f aca="false">Inputs!$B$84*Inputs!$B$8/(Inputs!$B$8+G54)</f>
        <v>0.041583499667332</v>
      </c>
    </row>
    <row r="55" customFormat="false" ht="15" hidden="false" customHeight="false" outlineLevel="0" collapsed="false">
      <c r="A55" s="42" t="n">
        <v>0.3</v>
      </c>
      <c r="C55" s="19" t="n">
        <f aca="false">$C$7*(1-A55)</f>
        <v>217</v>
      </c>
      <c r="D55" s="19" t="n">
        <f aca="false">$C$7*A55</f>
        <v>93</v>
      </c>
      <c r="E55" s="19" t="n">
        <f aca="false">IF(D55&gt;0,D55+Inputs!$B$66,0)</f>
        <v>96</v>
      </c>
      <c r="F55" s="19" t="n">
        <f aca="false">IF(C55&gt;0,Inputs!$B$21,0)+IF(D55&gt;0,Inputs!$B$66,0)</f>
        <v>8</v>
      </c>
      <c r="G55" s="19" t="n">
        <f aca="false">IF(C55&gt;0,(C55+Inputs!$B$21)/Inputs!$B$18,0)</f>
        <v>177.6</v>
      </c>
      <c r="H55" s="25" t="n">
        <f aca="false">(Inputs!$B$15+E55)/(Inputs!$B$12+C55)</f>
        <v>0.371615312791783</v>
      </c>
      <c r="I55" s="33" t="n">
        <f aca="false">Inputs!$B$80/(Inputs!$B$81+E55*Inputs!$B$65)</f>
        <v>11.6938950988822</v>
      </c>
      <c r="J55" s="25" t="n">
        <f aca="false">(1-A55)*Inputs!$B$74+A55*Inputs!$B$65*(1-Inputs!$B$82)</f>
        <v>0.125882578095685</v>
      </c>
      <c r="K55" s="19" t="n">
        <f aca="false">G55*Inputs!$B$73+E55*Inputs!$B$65*(1-Inputs!$B$82)</f>
        <v>17.3021851073445</v>
      </c>
      <c r="L55" s="25" t="n">
        <f aca="false">Inputs!$B$84*Inputs!$B$8/(Inputs!$B$8+G55)</f>
        <v>0.0424592391304348</v>
      </c>
    </row>
    <row r="56" customFormat="false" ht="15" hidden="false" customHeight="false" outlineLevel="0" collapsed="false">
      <c r="A56" s="42" t="n">
        <v>0.4</v>
      </c>
      <c r="C56" s="19" t="n">
        <f aca="false">$C$7*(1-A56)</f>
        <v>186</v>
      </c>
      <c r="D56" s="19" t="n">
        <f aca="false">$C$7*A56</f>
        <v>124</v>
      </c>
      <c r="E56" s="19" t="n">
        <f aca="false">IF(D56&gt;0,D56+Inputs!$B$66,0)</f>
        <v>127</v>
      </c>
      <c r="F56" s="19" t="n">
        <f aca="false">IF(C56&gt;0,Inputs!$B$21,0)+IF(D56&gt;0,Inputs!$B$66,0)</f>
        <v>8</v>
      </c>
      <c r="G56" s="19" t="n">
        <f aca="false">IF(C56&gt;0,(C56+Inputs!$B$21)/Inputs!$B$18,0)</f>
        <v>152.8</v>
      </c>
      <c r="H56" s="25" t="n">
        <f aca="false">(Inputs!$B$15+E56)/(Inputs!$B$12+C56)</f>
        <v>0.391757460918996</v>
      </c>
      <c r="I56" s="33" t="n">
        <f aca="false">Inputs!$B$80/(Inputs!$B$81+E56*Inputs!$B$65)</f>
        <v>11.2623570208581</v>
      </c>
      <c r="J56" s="25" t="n">
        <f aca="false">(1-A56)*Inputs!$B$74+A56*Inputs!$B$65*(1-Inputs!$B$82)</f>
        <v>0.114060066939159</v>
      </c>
      <c r="K56" s="19" t="n">
        <f aca="false">G56*Inputs!$B$73+E56*Inputs!$B$65*(1-Inputs!$B$82)</f>
        <v>16.8010973220846</v>
      </c>
      <c r="L56" s="25" t="n">
        <f aca="false">Inputs!$B$84*Inputs!$B$8/(Inputs!$B$8+G56)</f>
        <v>0.0433726578764747</v>
      </c>
    </row>
    <row r="57" customFormat="false" ht="15" hidden="false" customHeight="false" outlineLevel="0" collapsed="false">
      <c r="A57" s="42" t="n">
        <v>0.5</v>
      </c>
      <c r="C57" s="19" t="n">
        <f aca="false">$C$7*(1-A57)</f>
        <v>155</v>
      </c>
      <c r="D57" s="19" t="n">
        <f aca="false">$C$7*A57</f>
        <v>155</v>
      </c>
      <c r="E57" s="19" t="n">
        <f aca="false">IF(D57&gt;0,D57+Inputs!$B$66,0)</f>
        <v>158</v>
      </c>
      <c r="F57" s="19" t="n">
        <f aca="false">IF(C57&gt;0,Inputs!$B$21,0)+IF(D57&gt;0,Inputs!$B$66,0)</f>
        <v>8</v>
      </c>
      <c r="G57" s="19" t="n">
        <f aca="false">IF(C57&gt;0,(C57+Inputs!$B$21)/Inputs!$B$18,0)</f>
        <v>128</v>
      </c>
      <c r="H57" s="25" t="n">
        <f aca="false">(Inputs!$B$15+E57)/(Inputs!$B$12+C57)</f>
        <v>0.4125</v>
      </c>
      <c r="I57" s="33" t="n">
        <f aca="false">Inputs!$B$80/(Inputs!$B$81+E57*Inputs!$B$65)</f>
        <v>10.8615353898373</v>
      </c>
      <c r="J57" s="25" t="n">
        <f aca="false">(1-A57)*Inputs!$B$74+A57*Inputs!$B$65*(1-Inputs!$B$82)</f>
        <v>0.102237555782632</v>
      </c>
      <c r="K57" s="19" t="n">
        <f aca="false">G57*Inputs!$B$73+E57*Inputs!$B$65*(1-Inputs!$B$82)</f>
        <v>16.3000095368248</v>
      </c>
      <c r="L57" s="25" t="n">
        <f aca="false">Inputs!$B$84*Inputs!$B$8/(Inputs!$B$8+G57)</f>
        <v>0.0443262411347518</v>
      </c>
    </row>
    <row r="58" customFormat="false" ht="15" hidden="false" customHeight="false" outlineLevel="0" collapsed="false">
      <c r="A58" s="42" t="n">
        <v>0.6</v>
      </c>
      <c r="C58" s="19" t="n">
        <f aca="false">$C$7*(1-A58)</f>
        <v>124</v>
      </c>
      <c r="D58" s="19" t="n">
        <f aca="false">$C$7*A58</f>
        <v>186</v>
      </c>
      <c r="E58" s="19" t="n">
        <f aca="false">IF(D58&gt;0,D58+Inputs!$B$66,0)</f>
        <v>189</v>
      </c>
      <c r="F58" s="19" t="n">
        <f aca="false">IF(C58&gt;0,Inputs!$B$21,0)+IF(D58&gt;0,Inputs!$B$66,0)</f>
        <v>8</v>
      </c>
      <c r="G58" s="19" t="n">
        <f aca="false">IF(C58&gt;0,(C58+Inputs!$B$21)/Inputs!$B$18,0)</f>
        <v>103.2</v>
      </c>
      <c r="H58" s="25" t="n">
        <f aca="false">(Inputs!$B$15+E58)/(Inputs!$B$12+C58)</f>
        <v>0.433870180575891</v>
      </c>
      <c r="I58" s="33" t="n">
        <f aca="false">Inputs!$B$80/(Inputs!$B$81+E58*Inputs!$B$65)</f>
        <v>10.4882633633778</v>
      </c>
      <c r="J58" s="25" t="n">
        <f aca="false">(1-A58)*Inputs!$B$74+A58*Inputs!$B$65*(1-Inputs!$B$82)</f>
        <v>0.090415044626106</v>
      </c>
      <c r="K58" s="19" t="n">
        <f aca="false">G58*Inputs!$B$73+E58*Inputs!$B$65*(1-Inputs!$B$82)</f>
        <v>15.798921751565</v>
      </c>
      <c r="L58" s="25" t="n">
        <f aca="false">Inputs!$B$84*Inputs!$B$8/(Inputs!$B$8+G58)</f>
        <v>0.0453226976069616</v>
      </c>
    </row>
    <row r="59" customFormat="false" ht="15" hidden="false" customHeight="false" outlineLevel="0" collapsed="false">
      <c r="A59" s="42" t="n">
        <v>0.7</v>
      </c>
      <c r="C59" s="19" t="n">
        <f aca="false">$C$7*(1-A59)</f>
        <v>93</v>
      </c>
      <c r="D59" s="19" t="n">
        <f aca="false">$C$7*A59</f>
        <v>217</v>
      </c>
      <c r="E59" s="19" t="n">
        <f aca="false">IF(D59&gt;0,D59+Inputs!$B$66,0)</f>
        <v>220</v>
      </c>
      <c r="F59" s="19" t="n">
        <f aca="false">IF(C59&gt;0,Inputs!$B$21,0)+IF(D59&gt;0,Inputs!$B$66,0)</f>
        <v>8</v>
      </c>
      <c r="G59" s="19" t="n">
        <f aca="false">IF(C59&gt;0,(C59+Inputs!$B$21)/Inputs!$B$18,0)</f>
        <v>78.4</v>
      </c>
      <c r="H59" s="25" t="n">
        <f aca="false">(Inputs!$B$15+E59)/(Inputs!$B$12+C59)</f>
        <v>0.45589692765114</v>
      </c>
      <c r="I59" s="33" t="n">
        <f aca="false">Inputs!$B$80/(Inputs!$B$81+E59*Inputs!$B$65)</f>
        <v>10.1397949673812</v>
      </c>
      <c r="J59" s="25" t="n">
        <f aca="false">(1-A59)*Inputs!$B$74+A59*Inputs!$B$65*(1-Inputs!$B$82)</f>
        <v>0.0785925334695795</v>
      </c>
      <c r="K59" s="19" t="n">
        <f aca="false">G59*Inputs!$B$73+E59*Inputs!$B$65*(1-Inputs!$B$82)</f>
        <v>15.2978339663052</v>
      </c>
      <c r="L59" s="25" t="n">
        <f aca="false">Inputs!$B$84*Inputs!$B$8/(Inputs!$B$8+G59)</f>
        <v>0.0463649851632047</v>
      </c>
    </row>
    <row r="60" customFormat="false" ht="15" hidden="false" customHeight="false" outlineLevel="0" collapsed="false">
      <c r="A60" s="42" t="n">
        <v>0.8</v>
      </c>
      <c r="C60" s="19" t="n">
        <f aca="false">$C$7*(1-A60)</f>
        <v>62</v>
      </c>
      <c r="D60" s="19" t="n">
        <f aca="false">$C$7*A60</f>
        <v>248</v>
      </c>
      <c r="E60" s="19" t="n">
        <f aca="false">IF(D60&gt;0,D60+Inputs!$B$66,0)</f>
        <v>251</v>
      </c>
      <c r="F60" s="19" t="n">
        <f aca="false">IF(C60&gt;0,Inputs!$B$21,0)+IF(D60&gt;0,Inputs!$B$66,0)</f>
        <v>8</v>
      </c>
      <c r="G60" s="19" t="n">
        <f aca="false">IF(C60&gt;0,(C60+Inputs!$B$21)/Inputs!$B$18,0)</f>
        <v>53.6</v>
      </c>
      <c r="H60" s="25" t="n">
        <f aca="false">(Inputs!$B$15+E60)/(Inputs!$B$12+C60)</f>
        <v>0.478610971313538</v>
      </c>
      <c r="I60" s="33" t="n">
        <f aca="false">Inputs!$B$80/(Inputs!$B$81+E60*Inputs!$B$65)</f>
        <v>9.81373742840392</v>
      </c>
      <c r="J60" s="25" t="n">
        <f aca="false">(1-A60)*Inputs!$B$74+A60*Inputs!$B$65*(1-Inputs!$B$82)</f>
        <v>0.066770022313053</v>
      </c>
      <c r="K60" s="19" t="n">
        <f aca="false">G60*Inputs!$B$73+E60*Inputs!$B$65*(1-Inputs!$B$82)</f>
        <v>14.7967461810454</v>
      </c>
      <c r="L60" s="25" t="n">
        <f aca="false">Inputs!$B$84*Inputs!$B$8/(Inputs!$B$8+G60)</f>
        <v>0.0474563401670463</v>
      </c>
    </row>
    <row r="61" customFormat="false" ht="15" hidden="false" customHeight="false" outlineLevel="0" collapsed="false">
      <c r="A61" s="42" t="n">
        <v>0.9</v>
      </c>
      <c r="C61" s="19" t="n">
        <f aca="false">$C$7*(1-A61)</f>
        <v>31</v>
      </c>
      <c r="D61" s="19" t="n">
        <f aca="false">$C$7*A61</f>
        <v>279</v>
      </c>
      <c r="E61" s="19" t="n">
        <f aca="false">IF(D61&gt;0,D61+Inputs!$B$66,0)</f>
        <v>282</v>
      </c>
      <c r="F61" s="19" t="n">
        <f aca="false">IF(C61&gt;0,Inputs!$B$21,0)+IF(D61&gt;0,Inputs!$B$66,0)</f>
        <v>8</v>
      </c>
      <c r="G61" s="19" t="n">
        <f aca="false">IF(C61&gt;0,(C61+Inputs!$B$21)/Inputs!$B$18,0)</f>
        <v>28.8</v>
      </c>
      <c r="H61" s="25" t="n">
        <f aca="false">(Inputs!$B$15+E61)/(Inputs!$B$12+C61)</f>
        <v>0.502044989775051</v>
      </c>
      <c r="I61" s="33" t="n">
        <f aca="false">Inputs!$B$80/(Inputs!$B$81+E61*Inputs!$B$65)</f>
        <v>9.5079961548545</v>
      </c>
      <c r="J61" s="25" t="n">
        <f aca="false">(1-A61)*Inputs!$B$74+A61*Inputs!$B$65*(1-Inputs!$B$82)</f>
        <v>0.0549475111565265</v>
      </c>
      <c r="K61" s="19" t="n">
        <f aca="false">G61*Inputs!$B$73+E61*Inputs!$B$65*(1-Inputs!$B$82)</f>
        <v>14.2956583957856</v>
      </c>
      <c r="L61" s="25" t="n">
        <f aca="false">Inputs!$B$84*Inputs!$B$8/(Inputs!$B$8+G61)</f>
        <v>0.0486003110419907</v>
      </c>
    </row>
    <row r="62" customFormat="false" ht="15" hidden="false" customHeight="false" outlineLevel="0" collapsed="false">
      <c r="A62" s="42" t="n">
        <v>1</v>
      </c>
      <c r="C62" s="19" t="n">
        <f aca="false">$C$7*(1-A62)</f>
        <v>0</v>
      </c>
      <c r="D62" s="19" t="n">
        <f aca="false">$C$7*A62</f>
        <v>310</v>
      </c>
      <c r="E62" s="19" t="n">
        <f aca="false">IF(D62&gt;0,D62+Inputs!$B$66,0)</f>
        <v>313</v>
      </c>
      <c r="F62" s="19" t="n">
        <f aca="false">IF(C62&gt;0,Inputs!$B$21,0)+IF(D62&gt;0,Inputs!$B$66,0)</f>
        <v>3</v>
      </c>
      <c r="G62" s="19" t="n">
        <f aca="false">IF(C62&gt;0,(C62+Inputs!$B$21)/Inputs!$B$18,0)</f>
        <v>0</v>
      </c>
      <c r="H62" s="25" t="n">
        <f aca="false">(Inputs!$B$15+E62)/(Inputs!$B$12+C62)</f>
        <v>0.526233766233766</v>
      </c>
      <c r="I62" s="33" t="n">
        <f aca="false">Inputs!$B$80/(Inputs!$B$81+E62*Inputs!$B$65)</f>
        <v>9.2207296919361</v>
      </c>
      <c r="J62" s="25" t="n">
        <f aca="false">(1-A62)*Inputs!$B$74+A62*Inputs!$B$65*(1-Inputs!$B$82)</f>
        <v>0.043125</v>
      </c>
      <c r="K62" s="19" t="n">
        <f aca="false">G62*Inputs!$B$73+E62*Inputs!$B$65*(1-Inputs!$B$82)</f>
        <v>13.498125</v>
      </c>
      <c r="L62" s="25" t="n">
        <f aca="false">Inputs!$B$84*Inputs!$B$8/(Inputs!$B$8+G62)</f>
        <v>0.05</v>
      </c>
    </row>
    <row r="63" customFormat="false" ht="32.8" hidden="false" customHeight="false" outlineLevel="0" collapsed="false">
      <c r="A63" s="17" t="s">
        <v>377</v>
      </c>
    </row>
    <row r="66" customFormat="false" ht="15" hidden="false" customHeight="false" outlineLevel="0" collapsed="false">
      <c r="A66" s="14" t="s">
        <v>378</v>
      </c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false" outlineLevel="0" collapsed="false">
      <c r="A67" s="43" t="s">
        <v>379</v>
      </c>
      <c r="B67" s="43" t="s">
        <v>380</v>
      </c>
      <c r="C67" s="43" t="s">
        <v>381</v>
      </c>
    </row>
    <row r="68" customFormat="false" ht="15" hidden="false" customHeight="false" outlineLevel="0" collapsed="false">
      <c r="A68" s="8" t="s">
        <v>382</v>
      </c>
      <c r="B68" s="29" t="n">
        <f aca="false">Inputs!$B$12</f>
        <v>1925</v>
      </c>
      <c r="C68" s="29" t="n">
        <f aca="false">Inputs!$B$15</f>
        <v>700</v>
      </c>
    </row>
    <row r="69" customFormat="false" ht="15" hidden="false" customHeight="false" outlineLevel="0" collapsed="false">
      <c r="A69" s="8" t="s">
        <v>383</v>
      </c>
      <c r="B69" s="19" t="n">
        <f aca="false">C30</f>
        <v>2235</v>
      </c>
      <c r="C69" s="19" t="n">
        <f aca="false">C31</f>
        <v>700</v>
      </c>
    </row>
    <row r="70" customFormat="false" ht="15" hidden="false" customHeight="false" outlineLevel="0" collapsed="false">
      <c r="A70" s="8" t="s">
        <v>170</v>
      </c>
      <c r="B70" s="19" t="n">
        <f aca="false">D30</f>
        <v>1925</v>
      </c>
      <c r="C70" s="19" t="n">
        <f aca="false">D31</f>
        <v>1013</v>
      </c>
    </row>
    <row r="71" customFormat="false" ht="15" hidden="false" customHeight="false" outlineLevel="0" collapsed="false">
      <c r="A71" s="8" t="s">
        <v>384</v>
      </c>
      <c r="B71" s="19" t="n">
        <f aca="false">E30</f>
        <v>1925</v>
      </c>
      <c r="C71" s="19" t="n">
        <f aca="false">E31</f>
        <v>1014</v>
      </c>
    </row>
    <row r="72" customFormat="false" ht="15" hidden="false" customHeight="false" outlineLevel="0" collapsed="false">
      <c r="A72" s="8" t="s">
        <v>385</v>
      </c>
      <c r="B72" s="19" t="n">
        <f aca="false">F30</f>
        <v>1925</v>
      </c>
      <c r="C72" s="19" t="n">
        <f aca="false">F31</f>
        <v>1013.25</v>
      </c>
    </row>
    <row r="73" customFormat="false" ht="15" hidden="false" customHeight="false" outlineLevel="0" collapsed="false">
      <c r="A73" s="8" t="s">
        <v>386</v>
      </c>
      <c r="B73" s="19" t="n">
        <f aca="false">G30</f>
        <v>1925</v>
      </c>
      <c r="C73" s="19" t="n">
        <f aca="false">G31</f>
        <v>1020</v>
      </c>
    </row>
    <row r="74" customFormat="false" ht="15" hidden="false" customHeight="false" outlineLevel="0" collapsed="false">
      <c r="A74" s="8" t="s">
        <v>292</v>
      </c>
      <c r="B74" s="19" t="n">
        <f aca="false">H30</f>
        <v>2080</v>
      </c>
      <c r="C74" s="19" t="n">
        <f aca="false">H31</f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1" t="s">
        <v>387</v>
      </c>
    </row>
    <row r="2" customFormat="false" ht="15" hidden="false" customHeight="false" outlineLevel="0" collapsed="false">
      <c r="A2" s="2" t="s">
        <v>388</v>
      </c>
    </row>
    <row r="4" customFormat="false" ht="30" hidden="false" customHeight="true" outlineLevel="0" collapsed="false">
      <c r="A4" s="12" t="s">
        <v>389</v>
      </c>
      <c r="B4" s="13" t="s">
        <v>390</v>
      </c>
      <c r="C4" s="13" t="s">
        <v>391</v>
      </c>
      <c r="D4" s="13" t="s">
        <v>392</v>
      </c>
      <c r="E4" s="13" t="s">
        <v>393</v>
      </c>
      <c r="F4" s="13" t="s">
        <v>211</v>
      </c>
    </row>
    <row r="6" customFormat="false" ht="15" hidden="false" customHeight="false" outlineLevel="0" collapsed="false">
      <c r="A6" s="14" t="s">
        <v>394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8" t="s">
        <v>59</v>
      </c>
      <c r="B7" s="29" t="n">
        <f aca="false">Inputs!$B$6</f>
        <v>1000</v>
      </c>
      <c r="C7" s="29" t="n">
        <f aca="false">$B$7+'Rights Issue'!C36</f>
        <v>1252</v>
      </c>
      <c r="D7" s="29" t="n">
        <f aca="false">$B$7+'Rights Issue'!D36</f>
        <v>1212</v>
      </c>
      <c r="E7" s="29" t="n">
        <f aca="false">$B$7+'Rights Issue'!E36</f>
        <v>1264</v>
      </c>
    </row>
    <row r="8" customFormat="false" ht="15" hidden="false" customHeight="false" outlineLevel="0" collapsed="false">
      <c r="A8" s="8" t="s">
        <v>395</v>
      </c>
      <c r="B8" s="15" t="n">
        <v>0</v>
      </c>
      <c r="C8" s="29" t="n">
        <f aca="false">$B$8+'Rights Issue'!C39</f>
        <v>58</v>
      </c>
      <c r="D8" s="29" t="n">
        <f aca="false">$B$8+'Rights Issue'!D39</f>
        <v>48</v>
      </c>
      <c r="E8" s="29" t="n">
        <f aca="false">$B$8+'Rights Issue'!E39</f>
        <v>61</v>
      </c>
      <c r="F8" s="17" t="s">
        <v>396</v>
      </c>
    </row>
    <row r="9" customFormat="false" ht="15" hidden="false" customHeight="false" outlineLevel="0" collapsed="false">
      <c r="A9" s="8" t="s">
        <v>72</v>
      </c>
      <c r="B9" s="29" t="n">
        <f aca="false">Inputs!$B$11</f>
        <v>700</v>
      </c>
      <c r="C9" s="19" t="n">
        <f aca="false">$B$9</f>
        <v>700</v>
      </c>
      <c r="D9" s="19" t="n">
        <f aca="false">$B$9</f>
        <v>700</v>
      </c>
      <c r="E9" s="19" t="n">
        <f aca="false">$B$9</f>
        <v>700</v>
      </c>
      <c r="F9" s="17" t="s">
        <v>397</v>
      </c>
    </row>
    <row r="10" customFormat="false" ht="15" hidden="false" customHeight="false" outlineLevel="0" collapsed="false">
      <c r="A10" s="5" t="s">
        <v>398</v>
      </c>
      <c r="B10" s="31" t="n">
        <f aca="false">B7+B8+B9</f>
        <v>1700</v>
      </c>
      <c r="C10" s="31" t="n">
        <f aca="false">C7+C8+C9</f>
        <v>2010</v>
      </c>
      <c r="D10" s="31" t="n">
        <f aca="false">D7+D8+D9</f>
        <v>1960</v>
      </c>
      <c r="E10" s="31" t="n">
        <f aca="false">E7+E8+E9</f>
        <v>2025</v>
      </c>
    </row>
    <row r="11" customFormat="false" ht="15" hidden="false" customHeight="false" outlineLevel="0" collapsed="false">
      <c r="A11" s="8" t="s">
        <v>70</v>
      </c>
      <c r="B11" s="29" t="n">
        <f aca="false">Inputs!$B$10</f>
        <v>225</v>
      </c>
      <c r="C11" s="19" t="n">
        <f aca="false">$B$11</f>
        <v>225</v>
      </c>
      <c r="D11" s="19" t="n">
        <f aca="false">$B$11</f>
        <v>225</v>
      </c>
      <c r="E11" s="19" t="n">
        <f aca="false">$B$11</f>
        <v>225</v>
      </c>
    </row>
    <row r="12" customFormat="false" ht="15" hidden="false" customHeight="false" outlineLevel="0" collapsed="false">
      <c r="A12" s="5" t="s">
        <v>74</v>
      </c>
      <c r="B12" s="31" t="n">
        <f aca="false">B10+B11</f>
        <v>1925</v>
      </c>
      <c r="C12" s="31" t="n">
        <f aca="false">C10+C11</f>
        <v>2235</v>
      </c>
      <c r="D12" s="31" t="n">
        <f aca="false">D10+D11</f>
        <v>2185</v>
      </c>
      <c r="E12" s="31" t="n">
        <f aca="false">E10+E11</f>
        <v>2250</v>
      </c>
      <c r="F12" s="17" t="s">
        <v>399</v>
      </c>
    </row>
    <row r="14" customFormat="false" ht="15" hidden="false" customHeight="false" outlineLevel="0" collapsed="false">
      <c r="A14" s="14" t="s">
        <v>400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8" t="s">
        <v>76</v>
      </c>
      <c r="B15" s="29" t="n">
        <f aca="false">Inputs!$B$13</f>
        <v>500</v>
      </c>
      <c r="C15" s="19" t="n">
        <f aca="false">$B$15</f>
        <v>500</v>
      </c>
      <c r="D15" s="19" t="n">
        <f aca="false">$B$15</f>
        <v>500</v>
      </c>
      <c r="E15" s="19" t="n">
        <f aca="false">$B$15</f>
        <v>500</v>
      </c>
    </row>
    <row r="16" customFormat="false" ht="15" hidden="false" customHeight="false" outlineLevel="0" collapsed="false">
      <c r="A16" s="8" t="s">
        <v>401</v>
      </c>
      <c r="B16" s="29" t="n">
        <f aca="false">Inputs!$B$14</f>
        <v>200</v>
      </c>
      <c r="C16" s="19" t="n">
        <f aca="false">$B$16</f>
        <v>200</v>
      </c>
      <c r="D16" s="19" t="n">
        <f aca="false">$B$16</f>
        <v>200</v>
      </c>
      <c r="E16" s="19" t="n">
        <f aca="false">$B$16</f>
        <v>200</v>
      </c>
    </row>
    <row r="17" customFormat="false" ht="15" hidden="false" customHeight="false" outlineLevel="0" collapsed="false">
      <c r="A17" s="8" t="s">
        <v>402</v>
      </c>
      <c r="B17" s="15" t="n">
        <v>0</v>
      </c>
      <c r="C17" s="19" t="n">
        <f aca="false">'Rights Issue'!C7-'Rights Issue'!C9</f>
        <v>0</v>
      </c>
      <c r="D17" s="19" t="n">
        <f aca="false">'Rights Issue'!D7-'Rights Issue'!D9</f>
        <v>0</v>
      </c>
      <c r="E17" s="19" t="n">
        <f aca="false">'Rights Issue'!E7-'Rights Issue'!E9</f>
        <v>0</v>
      </c>
      <c r="F17" s="17" t="s">
        <v>403</v>
      </c>
    </row>
    <row r="18" customFormat="false" ht="15" hidden="false" customHeight="false" outlineLevel="0" collapsed="false">
      <c r="A18" s="5" t="s">
        <v>79</v>
      </c>
      <c r="B18" s="31" t="n">
        <f aca="false">B15+B16+B17</f>
        <v>700</v>
      </c>
      <c r="C18" s="31" t="n">
        <f aca="false">C15+C16+C17</f>
        <v>700</v>
      </c>
      <c r="D18" s="31" t="n">
        <f aca="false">D15+D16+D17</f>
        <v>700</v>
      </c>
      <c r="E18" s="31" t="n">
        <f aca="false">E15+E16+E17</f>
        <v>700</v>
      </c>
    </row>
    <row r="19" customFormat="false" ht="15" hidden="false" customHeight="false" outlineLevel="0" collapsed="false">
      <c r="A19" s="5" t="s">
        <v>81</v>
      </c>
      <c r="B19" s="31" t="n">
        <f aca="false">B12+B18</f>
        <v>2625</v>
      </c>
      <c r="C19" s="31" t="n">
        <f aca="false">C12+C18</f>
        <v>2935</v>
      </c>
      <c r="D19" s="31" t="n">
        <f aca="false">D12+D18</f>
        <v>2885</v>
      </c>
      <c r="E19" s="31" t="n">
        <f aca="false">E12+E18</f>
        <v>2950</v>
      </c>
      <c r="F19" s="17" t="s">
        <v>404</v>
      </c>
    </row>
    <row r="20" customFormat="false" ht="15" hidden="false" customHeight="false" outlineLevel="0" collapsed="false">
      <c r="A20" s="8" t="s">
        <v>405</v>
      </c>
      <c r="C20" s="36" t="str">
        <f aca="false">IF(ABS((C19-$B$19)-'Rights Issue'!C7)&lt;0.0001,"OK","CHECK")</f>
        <v>OK</v>
      </c>
      <c r="D20" s="36" t="str">
        <f aca="false">IF(ABS((D19-$B$19)-'Rights Issue'!D7)&lt;0.0001,"OK","CHECK")</f>
        <v>OK</v>
      </c>
      <c r="E20" s="36" t="str">
        <f aca="false">IF(ABS((E19-$B$19)-'Rights Issue'!E7)&lt;0.0001,"OK","CHECK")</f>
        <v>OK</v>
      </c>
    </row>
    <row r="22" customFormat="false" ht="15" hidden="false" customHeight="false" outlineLevel="0" collapsed="false">
      <c r="A22" s="14" t="s">
        <v>406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8" t="s">
        <v>407</v>
      </c>
      <c r="B23" s="29" t="n">
        <f aca="false">Inputs!$B$8</f>
        <v>1000</v>
      </c>
      <c r="C23" s="29" t="n">
        <f aca="false">'Rights Issue'!C19</f>
        <v>1252</v>
      </c>
      <c r="D23" s="29" t="n">
        <f aca="false">'Rights Issue'!D19</f>
        <v>1212</v>
      </c>
      <c r="E23" s="29" t="n">
        <f aca="false">'Rights Issue'!E19</f>
        <v>1264</v>
      </c>
    </row>
    <row r="24" customFormat="false" ht="15" hidden="false" customHeight="false" outlineLevel="0" collapsed="false">
      <c r="A24" s="5" t="s">
        <v>408</v>
      </c>
      <c r="B24" s="38" t="n">
        <f aca="false">IF(B23&gt;0,B10/B23,0)</f>
        <v>1.7</v>
      </c>
      <c r="C24" s="38" t="n">
        <f aca="false">IF(C23&gt;0,C10/C23,0)</f>
        <v>1.60543130990415</v>
      </c>
      <c r="D24" s="38" t="n">
        <f aca="false">IF(D23&gt;0,D10/D23,0)</f>
        <v>1.61716171617162</v>
      </c>
      <c r="E24" s="38" t="n">
        <f aca="false">IF(E23&gt;0,E10/E23,0)</f>
        <v>1.60205696202532</v>
      </c>
      <c r="F24" s="17" t="s">
        <v>409</v>
      </c>
    </row>
    <row r="25" customFormat="false" ht="15" hidden="false" customHeight="false" outlineLevel="0" collapsed="false">
      <c r="A25" s="8" t="s">
        <v>410</v>
      </c>
      <c r="C25" s="37" t="n">
        <f aca="false">C24-$B$24</f>
        <v>-0.0945686900958467</v>
      </c>
      <c r="D25" s="37" t="n">
        <f aca="false">D24-$B$24</f>
        <v>-0.0828382838283828</v>
      </c>
      <c r="E25" s="37" t="n">
        <f aca="false">E24-$B$24</f>
        <v>-0.0979430379746835</v>
      </c>
      <c r="F25" s="17" t="s">
        <v>411</v>
      </c>
    </row>
    <row r="26" customFormat="false" ht="15" hidden="false" customHeight="false" outlineLevel="0" collapsed="false">
      <c r="A26" s="8" t="s">
        <v>329</v>
      </c>
      <c r="B26" s="25" t="n">
        <f aca="false">IF(B12&gt;0,B18/B12,0)</f>
        <v>0.363636363636364</v>
      </c>
      <c r="C26" s="25" t="n">
        <f aca="false">IF(C12&gt;0,C18/C12,0)</f>
        <v>0.313199105145414</v>
      </c>
      <c r="D26" s="25" t="n">
        <f aca="false">IF(D12&gt;0,D18/D12,0)</f>
        <v>0.320366132723112</v>
      </c>
      <c r="E26" s="25" t="n">
        <f aca="false">IF(E12&gt;0,E18/E12,0)</f>
        <v>0.311111111111111</v>
      </c>
      <c r="F26" s="17" t="s">
        <v>412</v>
      </c>
    </row>
    <row r="27" customFormat="false" ht="15" hidden="false" customHeight="false" outlineLevel="0" collapsed="false">
      <c r="A27" s="8" t="s">
        <v>331</v>
      </c>
      <c r="B27" s="25" t="n">
        <f aca="false">IF(B19&gt;0,B18/B19,0)</f>
        <v>0.266666666666667</v>
      </c>
      <c r="C27" s="25" t="n">
        <f aca="false">IF(C19&gt;0,C18/C19,0)</f>
        <v>0.238500851788756</v>
      </c>
      <c r="D27" s="25" t="n">
        <f aca="false">IF(D19&gt;0,D18/D19,0)</f>
        <v>0.24263431542461</v>
      </c>
      <c r="E27" s="25" t="n">
        <f aca="false">IF(E19&gt;0,E18/E19,0)</f>
        <v>0.23728813559322</v>
      </c>
    </row>
    <row r="29" customFormat="false" ht="15" hidden="false" customHeight="false" outlineLevel="0" collapsed="false">
      <c r="A29" s="5" t="str">
        <f aca="false">"Why: the issue price (£"&amp;TEXT(Inputs!$B$18,"0.00")&amp;") is "&amp;IF(Inputs!$B$18&lt;$B$24,"BELOW","ABOVE")&amp;" the current book value per share (£"&amp;TEXT($B$24,"0.00")&amp;"), so book value per share "&amp;IF(Inputs!$B$18&lt;$B$24,"FALLS","RISES")&amp;" after the issue. In the Week 3 example the £2 issue price was above the £1.40 book value, so it rose to £1.50."</f>
        <v>Why: the issue price (£1.25) is BELOW the current book value per share (£1.70), so book value per share FALLS after the issue. In the Week 3 example the £2 issue price was above the £1.40 book value, so it rose to £1.50.</v>
      </c>
    </row>
  </sheetData>
  <conditionalFormatting sqref="B5:E60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0">
      <formula>"CHECK"</formula>
    </cfRule>
    <cfRule type="cellIs" priority="4" operator="equal" aboveAverage="0" equalAverage="0" bottom="0" percent="0" rank="0" text="" dxfId="0">
      <formula>"DIFFERS"</formula>
    </cfRule>
    <cfRule type="cellIs" priority="5" operator="equal" aboveAverage="0" equalAverage="0" bottom="0" percent="0" rank="0" text="" dxfId="0">
      <formula>"No"</formula>
    </cfRule>
    <cfRule type="cellIs" priority="6" operator="equal" aboveAverage="0" equalAverage="0" bottom="0" percent="0" rank="0" text="" dxfId="1">
      <formula>"YES"</formula>
    </cfRule>
    <cfRule type="cellIs" priority="7" operator="equal" aboveAverage="0" equalAverage="0" bottom="0" percent="0" rank="0" text="" dxfId="1">
      <formula>"OK"</formula>
    </cfRule>
    <cfRule type="cellIs" priority="8" operator="equal" aboveAverage="0" equalAverage="0" bottom="0" percent="0" rank="0" text="" dxfId="1">
      <formula>"Matches slide"</formula>
    </cfRule>
    <cfRule type="cellIs" priority="9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5" min="3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1" t="s">
        <v>413</v>
      </c>
    </row>
    <row r="2" customFormat="false" ht="15" hidden="false" customHeight="false" outlineLevel="0" collapsed="false">
      <c r="A2" s="2" t="s">
        <v>414</v>
      </c>
    </row>
    <row r="4" customFormat="false" ht="30" hidden="false" customHeight="true" outlineLevel="0" collapsed="false">
      <c r="A4" s="12" t="s">
        <v>207</v>
      </c>
      <c r="B4" s="13" t="s">
        <v>56</v>
      </c>
      <c r="C4" s="13" t="s">
        <v>208</v>
      </c>
      <c r="D4" s="13" t="s">
        <v>209</v>
      </c>
      <c r="E4" s="13" t="s">
        <v>210</v>
      </c>
      <c r="F4" s="13" t="s">
        <v>211</v>
      </c>
    </row>
    <row r="6" customFormat="false" ht="15" hidden="false" customHeight="false" outlineLevel="0" collapsed="false">
      <c r="A6" s="14" t="s">
        <v>415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8" t="s">
        <v>416</v>
      </c>
      <c r="B7" s="16" t="s">
        <v>115</v>
      </c>
      <c r="C7" s="30" t="n">
        <f aca="false">Inputs!$B$84</f>
        <v>0.05</v>
      </c>
      <c r="D7" s="30" t="n">
        <f aca="false">Inputs!$B$84</f>
        <v>0.05</v>
      </c>
      <c r="E7" s="30" t="n">
        <f aca="false">Inputs!$B$84</f>
        <v>0.05</v>
      </c>
      <c r="F7" s="17" t="s">
        <v>417</v>
      </c>
    </row>
    <row r="8" customFormat="false" ht="15" hidden="false" customHeight="false" outlineLevel="0" collapsed="false">
      <c r="A8" s="8" t="s">
        <v>418</v>
      </c>
      <c r="B8" s="16" t="s">
        <v>66</v>
      </c>
      <c r="C8" s="29" t="n">
        <f aca="false">C7*'Rights Issue'!C16</f>
        <v>50</v>
      </c>
      <c r="D8" s="29" t="n">
        <f aca="false">D7*'Rights Issue'!D16</f>
        <v>50</v>
      </c>
      <c r="E8" s="29" t="n">
        <f aca="false">E7*'Rights Issue'!E16</f>
        <v>50</v>
      </c>
    </row>
    <row r="9" customFormat="false" ht="15" hidden="false" customHeight="false" outlineLevel="0" collapsed="false">
      <c r="A9" s="8" t="s">
        <v>419</v>
      </c>
      <c r="B9" s="16" t="s">
        <v>66</v>
      </c>
      <c r="C9" s="19" t="n">
        <f aca="false">IF('Rights Issue'!C17&gt;0,C8/'Rights Issue'!C17,0)</f>
        <v>12.6</v>
      </c>
      <c r="D9" s="19" t="n">
        <f aca="false">IF('Rights Issue'!D17&gt;0,D8/'Rights Issue'!D17,0)</f>
        <v>10.6</v>
      </c>
      <c r="E9" s="19" t="n">
        <f aca="false">IF('Rights Issue'!E17&gt;0,E8/'Rights Issue'!E17,0)</f>
        <v>13.2</v>
      </c>
      <c r="F9" s="17" t="s">
        <v>420</v>
      </c>
    </row>
    <row r="10" customFormat="false" ht="15" hidden="false" customHeight="false" outlineLevel="0" collapsed="false">
      <c r="A10" s="5" t="s">
        <v>421</v>
      </c>
      <c r="B10" s="16" t="s">
        <v>60</v>
      </c>
      <c r="C10" s="44" t="n">
        <f aca="false">C9*'Rights Issue'!C12</f>
        <v>15.75</v>
      </c>
      <c r="D10" s="44" t="n">
        <f aca="false">D9*'Rights Issue'!D12</f>
        <v>13.25</v>
      </c>
      <c r="E10" s="44" t="n">
        <f aca="false">E9*'Rights Issue'!E12</f>
        <v>16.5</v>
      </c>
      <c r="F10" s="17" t="s">
        <v>422</v>
      </c>
    </row>
    <row r="12" customFormat="false" ht="15" hidden="false" customHeight="false" outlineLevel="0" collapsed="false">
      <c r="A12" s="14" t="s">
        <v>423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8" t="s">
        <v>424</v>
      </c>
      <c r="B13" s="16" t="s">
        <v>115</v>
      </c>
      <c r="C13" s="25" t="n">
        <f aca="false">IF('Rights Issue'!C19&gt;0,(C8+C9)/'Rights Issue'!C19,0)</f>
        <v>0.05</v>
      </c>
      <c r="D13" s="25" t="n">
        <f aca="false">IF('Rights Issue'!D19&gt;0,(D8+D9)/'Rights Issue'!D19,0)</f>
        <v>0.05</v>
      </c>
      <c r="E13" s="25" t="n">
        <f aca="false">IF('Rights Issue'!E19&gt;0,(E8+E9)/'Rights Issue'!E19,0)</f>
        <v>0.05</v>
      </c>
      <c r="F13" s="17" t="s">
        <v>425</v>
      </c>
    </row>
    <row r="14" customFormat="false" ht="15" hidden="false" customHeight="false" outlineLevel="0" collapsed="false">
      <c r="A14" s="5" t="s">
        <v>426</v>
      </c>
      <c r="B14" s="16" t="s">
        <v>115</v>
      </c>
      <c r="C14" s="39" t="n">
        <f aca="false">IF('Rights Issue'!C19&gt;0,C8/'Rights Issue'!C19,0)</f>
        <v>0.0399361022364217</v>
      </c>
      <c r="D14" s="39" t="n">
        <f aca="false">IF('Rights Issue'!D19&gt;0,D8/'Rights Issue'!D19,0)</f>
        <v>0.0412541254125413</v>
      </c>
      <c r="E14" s="39" t="n">
        <f aca="false">IF('Rights Issue'!E19&gt;0,E8/'Rights Issue'!E19,0)</f>
        <v>0.0395569620253165</v>
      </c>
      <c r="F14" s="17" t="s">
        <v>427</v>
      </c>
    </row>
    <row r="15" customFormat="false" ht="15" hidden="false" customHeight="false" outlineLevel="0" collapsed="false">
      <c r="A15" s="8" t="s">
        <v>428</v>
      </c>
      <c r="B15" s="16" t="s">
        <v>115</v>
      </c>
      <c r="C15" s="25" t="n">
        <f aca="false">C14-C7</f>
        <v>-0.0100638977635783</v>
      </c>
      <c r="D15" s="25" t="n">
        <f aca="false">D14-D7</f>
        <v>-0.00874587458745875</v>
      </c>
      <c r="E15" s="25" t="n">
        <f aca="false">E14-E7</f>
        <v>-0.0104430379746835</v>
      </c>
    </row>
    <row r="17" customFormat="false" ht="15" hidden="false" customHeight="false" outlineLevel="0" collapsed="false">
      <c r="A17" s="14" t="s">
        <v>429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8" t="s">
        <v>430</v>
      </c>
      <c r="B18" s="16" t="s">
        <v>60</v>
      </c>
      <c r="C18" s="29" t="n">
        <f aca="false">C8*'Rights Issue'!C43</f>
        <v>175</v>
      </c>
      <c r="D18" s="29" t="n">
        <f aca="false">D8*'Rights Issue'!D43</f>
        <v>175</v>
      </c>
      <c r="E18" s="29" t="n">
        <f aca="false">E8*'Rights Issue'!E43</f>
        <v>175</v>
      </c>
    </row>
    <row r="19" customFormat="false" ht="15" hidden="false" customHeight="false" outlineLevel="0" collapsed="false">
      <c r="A19" s="8" t="s">
        <v>431</v>
      </c>
      <c r="B19" s="16" t="s">
        <v>60</v>
      </c>
      <c r="C19" s="29" t="n">
        <f aca="false">(C8+C9)*'Rights Issue'!C46</f>
        <v>190.75</v>
      </c>
      <c r="D19" s="29" t="n">
        <f aca="false">(D8+D9)*'Rights Issue'!D46</f>
        <v>188.25</v>
      </c>
      <c r="E19" s="29" t="n">
        <f aca="false">(E8+E9)*'Rights Issue'!E46</f>
        <v>191.5</v>
      </c>
    </row>
    <row r="20" customFormat="false" ht="15" hidden="false" customHeight="false" outlineLevel="0" collapsed="false">
      <c r="A20" s="8" t="s">
        <v>432</v>
      </c>
      <c r="B20" s="16" t="s">
        <v>60</v>
      </c>
      <c r="C20" s="19" t="n">
        <f aca="false">-C10</f>
        <v>-15.75</v>
      </c>
      <c r="D20" s="19" t="n">
        <f aca="false">-D10</f>
        <v>-13.25</v>
      </c>
      <c r="E20" s="19" t="n">
        <f aca="false">-E10</f>
        <v>-16.5</v>
      </c>
    </row>
    <row r="21" customFormat="false" ht="15" hidden="false" customHeight="false" outlineLevel="0" collapsed="false">
      <c r="A21" s="5" t="s">
        <v>433</v>
      </c>
      <c r="B21" s="16" t="s">
        <v>60</v>
      </c>
      <c r="C21" s="31" t="n">
        <f aca="false">C19+C20</f>
        <v>175</v>
      </c>
      <c r="D21" s="31" t="n">
        <f aca="false">D19+D20</f>
        <v>175</v>
      </c>
      <c r="E21" s="31" t="n">
        <f aca="false">E19+E20</f>
        <v>175</v>
      </c>
      <c r="F21" s="17" t="s">
        <v>434</v>
      </c>
    </row>
    <row r="22" customFormat="false" ht="15" hidden="false" customHeight="false" outlineLevel="0" collapsed="false">
      <c r="A22" s="8" t="s">
        <v>435</v>
      </c>
      <c r="B22" s="16" t="s">
        <v>60</v>
      </c>
      <c r="C22" s="29" t="n">
        <f aca="false">C8*'Rights Issue'!C46</f>
        <v>152.356230031949</v>
      </c>
      <c r="D22" s="29" t="n">
        <f aca="false">D8*'Rights Issue'!D46</f>
        <v>155.321782178218</v>
      </c>
      <c r="E22" s="29" t="n">
        <f aca="false">E8*'Rights Issue'!E46</f>
        <v>151.503164556962</v>
      </c>
    </row>
    <row r="23" customFormat="false" ht="15" hidden="false" customHeight="false" outlineLevel="0" collapsed="false">
      <c r="A23" s="8" t="s">
        <v>436</v>
      </c>
      <c r="B23" s="16" t="s">
        <v>60</v>
      </c>
      <c r="C23" s="29" t="n">
        <f aca="false">C9*'Rights Issue'!C48</f>
        <v>22.6437699680511</v>
      </c>
      <c r="D23" s="29" t="n">
        <f aca="false">D9*'Rights Issue'!D48</f>
        <v>19.6782178217822</v>
      </c>
      <c r="E23" s="29" t="n">
        <f aca="false">E9*'Rights Issue'!E48</f>
        <v>23.496835443038</v>
      </c>
      <c r="F23" s="17" t="s">
        <v>437</v>
      </c>
    </row>
    <row r="24" customFormat="false" ht="15" hidden="false" customHeight="false" outlineLevel="0" collapsed="false">
      <c r="A24" s="5" t="s">
        <v>438</v>
      </c>
      <c r="B24" s="16" t="s">
        <v>60</v>
      </c>
      <c r="C24" s="31" t="n">
        <f aca="false">C22+C23</f>
        <v>175</v>
      </c>
      <c r="D24" s="31" t="n">
        <f aca="false">D22+D23</f>
        <v>175</v>
      </c>
      <c r="E24" s="31" t="n">
        <f aca="false">E22+E23</f>
        <v>175</v>
      </c>
      <c r="F24" s="17" t="s">
        <v>439</v>
      </c>
    </row>
    <row r="25" customFormat="false" ht="15" hidden="false" customHeight="false" outlineLevel="0" collapsed="false">
      <c r="A25" s="5" t="s">
        <v>440</v>
      </c>
      <c r="B25" s="16" t="s">
        <v>60</v>
      </c>
      <c r="C25" s="44" t="n">
        <f aca="false">C8*'Rights Issue'!C46</f>
        <v>152.356230031949</v>
      </c>
      <c r="D25" s="44" t="n">
        <f aca="false">D8*'Rights Issue'!D46</f>
        <v>155.321782178218</v>
      </c>
      <c r="E25" s="44" t="n">
        <f aca="false">E8*'Rights Issue'!E46</f>
        <v>151.503164556962</v>
      </c>
    </row>
    <row r="26" customFormat="false" ht="15" hidden="false" customHeight="false" outlineLevel="0" collapsed="false">
      <c r="A26" s="8" t="s">
        <v>441</v>
      </c>
      <c r="B26" s="16" t="s">
        <v>60</v>
      </c>
      <c r="C26" s="19" t="n">
        <f aca="false">C25-C18</f>
        <v>-22.6437699680511</v>
      </c>
      <c r="D26" s="19" t="n">
        <f aca="false">D25-D18</f>
        <v>-19.6782178217822</v>
      </c>
      <c r="E26" s="19" t="n">
        <f aca="false">E25-E18</f>
        <v>-23.496835443038</v>
      </c>
      <c r="F26" s="17" t="s">
        <v>442</v>
      </c>
    </row>
    <row r="28" customFormat="false" ht="15" hidden="false" customHeight="false" outlineLevel="0" collapsed="false">
      <c r="A28" s="14" t="s">
        <v>443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8" t="s">
        <v>444</v>
      </c>
      <c r="B29" s="16" t="s">
        <v>60</v>
      </c>
      <c r="C29" s="29" t="n">
        <f aca="false">C8*'Balance Sheet'!$B$24</f>
        <v>85</v>
      </c>
      <c r="D29" s="29" t="n">
        <f aca="false">D8*'Balance Sheet'!$B$24</f>
        <v>85</v>
      </c>
      <c r="E29" s="29" t="n">
        <f aca="false">E8*'Balance Sheet'!$B$24</f>
        <v>85</v>
      </c>
    </row>
    <row r="30" customFormat="false" ht="15" hidden="false" customHeight="false" outlineLevel="0" collapsed="false">
      <c r="A30" s="8" t="s">
        <v>445</v>
      </c>
      <c r="B30" s="16" t="s">
        <v>60</v>
      </c>
      <c r="C30" s="29" t="n">
        <f aca="false">(C8+C9)*'Balance Sheet'!C24</f>
        <v>100.5</v>
      </c>
      <c r="D30" s="29" t="n">
        <f aca="false">(D8+D9)*'Balance Sheet'!D24</f>
        <v>98</v>
      </c>
      <c r="E30" s="29" t="n">
        <f aca="false">(E8+E9)*'Balance Sheet'!E24</f>
        <v>101.25</v>
      </c>
    </row>
    <row r="31" customFormat="false" ht="15" hidden="false" customHeight="false" outlineLevel="0" collapsed="false">
      <c r="A31" s="8" t="s">
        <v>446</v>
      </c>
      <c r="B31" s="16" t="s">
        <v>60</v>
      </c>
      <c r="C31" s="29" t="n">
        <f aca="false">C8*'Balance Sheet'!C24</f>
        <v>80.2715654952077</v>
      </c>
      <c r="D31" s="29" t="n">
        <f aca="false">D8*'Balance Sheet'!D24</f>
        <v>80.8580858085809</v>
      </c>
      <c r="E31" s="29" t="n">
        <f aca="false">E8*'Balance Sheet'!E24</f>
        <v>80.1028481012658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8" t="s">
        <v>449</v>
      </c>
      <c r="B4" s="27" t="n">
        <v>3</v>
      </c>
    </row>
    <row r="5" customFormat="false" ht="15" hidden="false" customHeight="false" outlineLevel="0" collapsed="false">
      <c r="A5" s="8" t="s">
        <v>450</v>
      </c>
      <c r="B5" s="34" t="str">
        <f aca="false">INDEX('Rights Issue'!$C$4:$E$4,1,$B$4)</f>
        <v>Option 2: Acquire 100%</v>
      </c>
    </row>
    <row r="6" customFormat="false" ht="15" hidden="false" customHeight="false" outlineLevel="0" collapsed="false">
      <c r="A6" s="8" t="s">
        <v>451</v>
      </c>
      <c r="B6" s="19" t="n">
        <f aca="false">INDEX('Rights Issue'!$C$9:$E$9,1,$B$4)</f>
        <v>325</v>
      </c>
    </row>
    <row r="7" customFormat="false" ht="15" hidden="false" customHeight="false" outlineLevel="0" collapsed="false">
      <c r="A7" s="8" t="s">
        <v>452</v>
      </c>
      <c r="B7" s="19" t="n">
        <f aca="false">INDEX('Rights Issue'!$C$11:$E$11,1,$B$4)</f>
        <v>330</v>
      </c>
    </row>
    <row r="8" customFormat="false" ht="15" hidden="false" customHeight="false" outlineLevel="0" collapsed="false">
      <c r="A8" s="8" t="s">
        <v>453</v>
      </c>
      <c r="B8" s="29" t="n">
        <f aca="false">Inputs!$B$8</f>
        <v>1000</v>
      </c>
    </row>
    <row r="9" customFormat="false" ht="15" hidden="false" customHeight="false" outlineLevel="0" collapsed="false">
      <c r="A9" s="8" t="s">
        <v>454</v>
      </c>
      <c r="B9" s="32" t="n">
        <f aca="false">Inputs!$B$9</f>
        <v>3.5</v>
      </c>
    </row>
    <row r="10" customFormat="false" ht="15" hidden="false" customHeight="false" outlineLevel="0" collapsed="false">
      <c r="A10" s="8" t="s">
        <v>455</v>
      </c>
      <c r="B10" s="29" t="n">
        <f aca="false">'Balance Sheet'!$B$10</f>
        <v>1700</v>
      </c>
    </row>
    <row r="11" customFormat="false" ht="15" hidden="false" customHeight="false" outlineLevel="0" collapsed="false">
      <c r="A11" s="8" t="s">
        <v>456</v>
      </c>
      <c r="B11" s="32" t="n">
        <f aca="false">Inputs!$B$22</f>
        <v>1</v>
      </c>
    </row>
    <row r="12" customFormat="false" ht="15" hidden="false" customHeight="false" outlineLevel="0" collapsed="false">
      <c r="A12" s="8" t="s">
        <v>457</v>
      </c>
      <c r="B12" s="30" t="n">
        <f aca="false">Inputs!$B$84</f>
        <v>0.05</v>
      </c>
    </row>
    <row r="14" customFormat="false" ht="42" hidden="false" customHeight="true" outlineLevel="0" collapsed="false">
      <c r="A14" s="12" t="s">
        <v>458</v>
      </c>
      <c r="B14" s="13" t="s">
        <v>459</v>
      </c>
      <c r="C14" s="13" t="s">
        <v>372</v>
      </c>
      <c r="D14" s="13" t="s">
        <v>460</v>
      </c>
      <c r="E14" s="13" t="s">
        <v>461</v>
      </c>
      <c r="F14" s="13" t="s">
        <v>462</v>
      </c>
      <c r="G14" s="13" t="s">
        <v>463</v>
      </c>
      <c r="H14" s="13" t="s">
        <v>464</v>
      </c>
      <c r="I14" s="13" t="s">
        <v>465</v>
      </c>
      <c r="J14" s="13" t="s">
        <v>466</v>
      </c>
      <c r="K14" s="13" t="s">
        <v>467</v>
      </c>
      <c r="L14" s="13" t="s">
        <v>468</v>
      </c>
    </row>
    <row r="15" customFormat="false" ht="15" hidden="false" customHeight="false" outlineLevel="0" collapsed="false">
      <c r="A15" s="18" t="n">
        <v>1</v>
      </c>
      <c r="B15" s="34" t="str">
        <f aca="false">IF(AND(A15&gt;=Inputs!$B$19,A15&lt;=Inputs!$B$20),"Yes","No")</f>
        <v>Yes</v>
      </c>
      <c r="C15" s="19" t="n">
        <f aca="false">IF(A15&gt;0,$B$7/A15,0)</f>
        <v>330</v>
      </c>
      <c r="D15" s="33" t="n">
        <f aca="false">IF(C15&gt;0,$B$8/C15,0)</f>
        <v>3.03030303030303</v>
      </c>
      <c r="E15" s="34" t="str">
        <f aca="false">IF(C15&gt;0,"1 for "&amp;TEXT(D15,"0.00"),"No issue")</f>
        <v>1 for 3.03</v>
      </c>
      <c r="F15" s="37" t="n">
        <f aca="false">IF(C15&gt;0,(D15*$B$9+A15)/(D15+1),$B$9)</f>
        <v>2.8796992481203</v>
      </c>
      <c r="G15" s="37" t="n">
        <f aca="false">$B$9-A15</f>
        <v>2.5</v>
      </c>
      <c r="H15" s="37" t="n">
        <f aca="false">F15-A15</f>
        <v>1.8796992481203</v>
      </c>
      <c r="I15" s="34" t="str">
        <f aca="false">IF(G15&gt;$B$11,"YES","NO")</f>
        <v>YES</v>
      </c>
      <c r="J15" s="34" t="str">
        <f aca="false">IF(H15&gt;$B$11,"YES","NO")</f>
        <v>YES</v>
      </c>
      <c r="K15" s="37" t="n">
        <f aca="false">IF(($B$8+C15)&gt;0,($B$10+$B$6)/($B$8+C15),0)</f>
        <v>1.52255639097744</v>
      </c>
      <c r="L15" s="25" t="n">
        <f aca="false">IF(($B$8+C15)&gt;0,$B$12*$B$8/($B$8+C15),0)</f>
        <v>0.037593984962406</v>
      </c>
    </row>
    <row r="16" customFormat="false" ht="15" hidden="false" customHeight="false" outlineLevel="0" collapsed="false">
      <c r="A16" s="18" t="n">
        <v>1.05</v>
      </c>
      <c r="B16" s="34" t="str">
        <f aca="false">IF(AND(A16&gt;=Inputs!$B$19,A16&lt;=Inputs!$B$20),"Yes","No")</f>
        <v>Yes</v>
      </c>
      <c r="C16" s="19" t="n">
        <f aca="false">IF(A16&gt;0,$B$7/A16,0)</f>
        <v>314.285714285714</v>
      </c>
      <c r="D16" s="33" t="n">
        <f aca="false">IF(C16&gt;0,$B$8/C16,0)</f>
        <v>3.18181818181818</v>
      </c>
      <c r="E16" s="34" t="str">
        <f aca="false">IF(C16&gt;0,"1 for "&amp;TEXT(D16,"0.00"),"No issue")</f>
        <v>1 for 3.18</v>
      </c>
      <c r="F16" s="37" t="n">
        <f aca="false">IF(C16&gt;0,(D16*$B$9+A16)/(D16+1),$B$9)</f>
        <v>2.91413043478261</v>
      </c>
      <c r="G16" s="37" t="n">
        <f aca="false">$B$9-A16</f>
        <v>2.45</v>
      </c>
      <c r="H16" s="37" t="n">
        <f aca="false">F16-A16</f>
        <v>1.86413043478261</v>
      </c>
      <c r="I16" s="34" t="str">
        <f aca="false">IF(G16&gt;$B$11,"YES","NO")</f>
        <v>YES</v>
      </c>
      <c r="J16" s="34" t="str">
        <f aca="false">IF(H16&gt;$B$11,"YES","NO")</f>
        <v>YES</v>
      </c>
      <c r="K16" s="37" t="n">
        <f aca="false">IF(($B$8+C16)&gt;0,($B$10+$B$6)/($B$8+C16),0)</f>
        <v>1.54076086956522</v>
      </c>
      <c r="L16" s="25" t="n">
        <f aca="false">IF(($B$8+C16)&gt;0,$B$12*$B$8/($B$8+C16),0)</f>
        <v>0.0380434782608696</v>
      </c>
    </row>
    <row r="17" customFormat="false" ht="15" hidden="false" customHeight="false" outlineLevel="0" collapsed="false">
      <c r="A17" s="18" t="n">
        <v>1.1</v>
      </c>
      <c r="B17" s="34" t="str">
        <f aca="false">IF(AND(A17&gt;=Inputs!$B$19,A17&lt;=Inputs!$B$20),"Yes","No")</f>
        <v>Yes</v>
      </c>
      <c r="C17" s="19" t="n">
        <f aca="false">IF(A17&gt;0,$B$7/A17,0)</f>
        <v>300</v>
      </c>
      <c r="D17" s="33" t="n">
        <f aca="false">IF(C17&gt;0,$B$8/C17,0)</f>
        <v>3.33333333333333</v>
      </c>
      <c r="E17" s="34" t="str">
        <f aca="false">IF(C17&gt;0,"1 for "&amp;TEXT(D17,"0.00"),"No issue")</f>
        <v>1 for 3.33</v>
      </c>
      <c r="F17" s="37" t="n">
        <f aca="false">IF(C17&gt;0,(D17*$B$9+A17)/(D17+1),$B$9)</f>
        <v>2.94615384615385</v>
      </c>
      <c r="G17" s="37" t="n">
        <f aca="false">$B$9-A17</f>
        <v>2.4</v>
      </c>
      <c r="H17" s="37" t="n">
        <f aca="false">F17-A17</f>
        <v>1.84615384615385</v>
      </c>
      <c r="I17" s="34" t="str">
        <f aca="false">IF(G17&gt;$B$11,"YES","NO")</f>
        <v>YES</v>
      </c>
      <c r="J17" s="34" t="str">
        <f aca="false">IF(H17&gt;$B$11,"YES","NO")</f>
        <v>YES</v>
      </c>
      <c r="K17" s="37" t="n">
        <f aca="false">IF(($B$8+C17)&gt;0,($B$10+$B$6)/($B$8+C17),0)</f>
        <v>1.55769230769231</v>
      </c>
      <c r="L17" s="25" t="n">
        <f aca="false">IF(($B$8+C17)&gt;0,$B$12*$B$8/($B$8+C17),0)</f>
        <v>0.0384615384615385</v>
      </c>
    </row>
    <row r="18" customFormat="false" ht="15" hidden="false" customHeight="false" outlineLevel="0" collapsed="false">
      <c r="A18" s="18" t="n">
        <v>1.15</v>
      </c>
      <c r="B18" s="34" t="str">
        <f aca="false">IF(AND(A18&gt;=Inputs!$B$19,A18&lt;=Inputs!$B$20),"Yes","No")</f>
        <v>Yes</v>
      </c>
      <c r="C18" s="19" t="n">
        <f aca="false">IF(A18&gt;0,$B$7/A18,0)</f>
        <v>286.95652173913</v>
      </c>
      <c r="D18" s="33" t="n">
        <f aca="false">IF(C18&gt;0,$B$8/C18,0)</f>
        <v>3.48484848484849</v>
      </c>
      <c r="E18" s="34" t="str">
        <f aca="false">IF(C18&gt;0,"1 for "&amp;TEXT(D18,"0.00"),"No issue")</f>
        <v>1 for 3.48</v>
      </c>
      <c r="F18" s="37" t="n">
        <f aca="false">IF(C18&gt;0,(D18*$B$9+A18)/(D18+1),$B$9)</f>
        <v>2.97601351351351</v>
      </c>
      <c r="G18" s="37" t="n">
        <f aca="false">$B$9-A18</f>
        <v>2.35</v>
      </c>
      <c r="H18" s="37" t="n">
        <f aca="false">F18-A18</f>
        <v>1.82601351351351</v>
      </c>
      <c r="I18" s="34" t="str">
        <f aca="false">IF(G18&gt;$B$11,"YES","NO")</f>
        <v>YES</v>
      </c>
      <c r="J18" s="34" t="str">
        <f aca="false">IF(H18&gt;$B$11,"YES","NO")</f>
        <v>YES</v>
      </c>
      <c r="K18" s="37" t="n">
        <f aca="false">IF(($B$8+C18)&gt;0,($B$10+$B$6)/($B$8+C18),0)</f>
        <v>1.57347972972973</v>
      </c>
      <c r="L18" s="25" t="n">
        <f aca="false">IF(($B$8+C18)&gt;0,$B$12*$B$8/($B$8+C18),0)</f>
        <v>0.0388513513513514</v>
      </c>
    </row>
    <row r="19" customFormat="false" ht="15" hidden="false" customHeight="false" outlineLevel="0" collapsed="false">
      <c r="A19" s="18" t="n">
        <v>1.2</v>
      </c>
      <c r="B19" s="34" t="str">
        <f aca="false">IF(AND(A19&gt;=Inputs!$B$19,A19&lt;=Inputs!$B$20),"Yes","No")</f>
        <v>Yes</v>
      </c>
      <c r="C19" s="19" t="n">
        <f aca="false">IF(A19&gt;0,$B$7/A19,0)</f>
        <v>275</v>
      </c>
      <c r="D19" s="33" t="n">
        <f aca="false">IF(C19&gt;0,$B$8/C19,0)</f>
        <v>3.63636363636364</v>
      </c>
      <c r="E19" s="34" t="str">
        <f aca="false">IF(C19&gt;0,"1 for "&amp;TEXT(D19,"0.00"),"No issue")</f>
        <v>1 for 3.64</v>
      </c>
      <c r="F19" s="37" t="n">
        <f aca="false">IF(C19&gt;0,(D19*$B$9+A19)/(D19+1),$B$9)</f>
        <v>3.00392156862745</v>
      </c>
      <c r="G19" s="37" t="n">
        <f aca="false">$B$9-A19</f>
        <v>2.3</v>
      </c>
      <c r="H19" s="37" t="n">
        <f aca="false">F19-A19</f>
        <v>1.80392156862745</v>
      </c>
      <c r="I19" s="34" t="str">
        <f aca="false">IF(G19&gt;$B$11,"YES","NO")</f>
        <v>YES</v>
      </c>
      <c r="J19" s="34" t="str">
        <f aca="false">IF(H19&gt;$B$11,"YES","NO")</f>
        <v>YES</v>
      </c>
      <c r="K19" s="37" t="n">
        <f aca="false">IF(($B$8+C19)&gt;0,($B$10+$B$6)/($B$8+C19),0)</f>
        <v>1.58823529411765</v>
      </c>
      <c r="L19" s="25" t="n">
        <f aca="false">IF(($B$8+C19)&gt;0,$B$12*$B$8/($B$8+C19),0)</f>
        <v>0.0392156862745098</v>
      </c>
    </row>
    <row r="20" customFormat="false" ht="15" hidden="false" customHeight="false" outlineLevel="0" collapsed="false">
      <c r="A20" s="45" t="n">
        <v>1.25</v>
      </c>
      <c r="B20" s="46" t="str">
        <f aca="false">IF(AND(A20&gt;=Inputs!$B$19,A20&lt;=Inputs!$B$20),"Yes","No")</f>
        <v>Yes</v>
      </c>
      <c r="C20" s="47" t="n">
        <f aca="false">IF(A20&gt;0,$B$7/A20,0)</f>
        <v>264</v>
      </c>
      <c r="D20" s="48" t="n">
        <f aca="false">IF(C20&gt;0,$B$8/C20,0)</f>
        <v>3.78787878787879</v>
      </c>
      <c r="E20" s="46" t="str">
        <f aca="false">IF(C20&gt;0,"1 for "&amp;TEXT(D20,"0.00"),"No issue")</f>
        <v>1 for 3.79</v>
      </c>
      <c r="F20" s="49" t="n">
        <f aca="false">IF(C20&gt;0,(D20*$B$9+A20)/(D20+1),$B$9)</f>
        <v>3.03006329113924</v>
      </c>
      <c r="G20" s="49" t="n">
        <f aca="false">$B$9-A20</f>
        <v>2.25</v>
      </c>
      <c r="H20" s="49" t="n">
        <f aca="false">F20-A20</f>
        <v>1.78006329113924</v>
      </c>
      <c r="I20" s="46" t="str">
        <f aca="false">IF(G20&gt;$B$11,"YES","NO")</f>
        <v>YES</v>
      </c>
      <c r="J20" s="46" t="str">
        <f aca="false">IF(H20&gt;$B$11,"YES","NO")</f>
        <v>YES</v>
      </c>
      <c r="K20" s="49" t="n">
        <f aca="false">IF(($B$8+C20)&gt;0,($B$10+$B$6)/($B$8+C20),0)</f>
        <v>1.60205696202532</v>
      </c>
      <c r="L20" s="50" t="n">
        <f aca="false">IF(($B$8+C20)&gt;0,$B$12*$B$8/($B$8+C20),0)</f>
        <v>0.0395569620253165</v>
      </c>
    </row>
    <row r="21" customFormat="false" ht="15" hidden="false" customHeight="false" outlineLevel="0" collapsed="false">
      <c r="A21" s="18" t="n">
        <v>1.5</v>
      </c>
      <c r="B21" s="34" t="str">
        <f aca="false">IF(AND(A21&gt;=Inputs!$B$19,A21&lt;=Inputs!$B$20),"Yes","No")</f>
        <v>No</v>
      </c>
      <c r="C21" s="19" t="n">
        <f aca="false">IF(A21&gt;0,$B$7/A21,0)</f>
        <v>220</v>
      </c>
      <c r="D21" s="33" t="n">
        <f aca="false">IF(C21&gt;0,$B$8/C21,0)</f>
        <v>4.54545454545455</v>
      </c>
      <c r="E21" s="34" t="str">
        <f aca="false">IF(C21&gt;0,"1 for "&amp;TEXT(D21,"0.00"),"No issue")</f>
        <v>1 for 4.55</v>
      </c>
      <c r="F21" s="37" t="n">
        <f aca="false">IF(C21&gt;0,(D21*$B$9+A21)/(D21+1),$B$9)</f>
        <v>3.13934426229508</v>
      </c>
      <c r="G21" s="37" t="n">
        <f aca="false">$B$9-A21</f>
        <v>2</v>
      </c>
      <c r="H21" s="37" t="n">
        <f aca="false">F21-A21</f>
        <v>1.63934426229508</v>
      </c>
      <c r="I21" s="34" t="str">
        <f aca="false">IF(G21&gt;$B$11,"YES","NO")</f>
        <v>YES</v>
      </c>
      <c r="J21" s="34" t="str">
        <f aca="false">IF(H21&gt;$B$11,"YES","NO")</f>
        <v>YES</v>
      </c>
      <c r="K21" s="37" t="n">
        <f aca="false">IF(($B$8+C21)&gt;0,($B$10+$B$6)/($B$8+C21),0)</f>
        <v>1.65983606557377</v>
      </c>
      <c r="L21" s="25" t="n">
        <f aca="false">IF(($B$8+C21)&gt;0,$B$12*$B$8/($B$8+C21),0)</f>
        <v>0.040983606557377</v>
      </c>
    </row>
    <row r="22" customFormat="false" ht="15" hidden="false" customHeight="false" outlineLevel="0" collapsed="false">
      <c r="A22" s="18" t="n">
        <v>2</v>
      </c>
      <c r="B22" s="34" t="str">
        <f aca="false">IF(AND(A22&gt;=Inputs!$B$19,A22&lt;=Inputs!$B$20),"Yes","No")</f>
        <v>No</v>
      </c>
      <c r="C22" s="19" t="n">
        <f aca="false">IF(A22&gt;0,$B$7/A22,0)</f>
        <v>165</v>
      </c>
      <c r="D22" s="33" t="n">
        <f aca="false">IF(C22&gt;0,$B$8/C22,0)</f>
        <v>6.06060606060606</v>
      </c>
      <c r="E22" s="34" t="str">
        <f aca="false">IF(C22&gt;0,"1 for "&amp;TEXT(D22,"0.00"),"No issue")</f>
        <v>1 for 6.06</v>
      </c>
      <c r="F22" s="37" t="n">
        <f aca="false">IF(C22&gt;0,(D22*$B$9+A22)/(D22+1),$B$9)</f>
        <v>3.28755364806867</v>
      </c>
      <c r="G22" s="37" t="n">
        <f aca="false">$B$9-A22</f>
        <v>1.5</v>
      </c>
      <c r="H22" s="37" t="n">
        <f aca="false">F22-A22</f>
        <v>1.28755364806867</v>
      </c>
      <c r="I22" s="34" t="str">
        <f aca="false">IF(G22&gt;$B$11,"YES","NO")</f>
        <v>YES</v>
      </c>
      <c r="J22" s="34" t="str">
        <f aca="false">IF(H22&gt;$B$11,"YES","NO")</f>
        <v>YES</v>
      </c>
      <c r="K22" s="37" t="n">
        <f aca="false">IF(($B$8+C22)&gt;0,($B$10+$B$6)/($B$8+C22),0)</f>
        <v>1.7381974248927</v>
      </c>
      <c r="L22" s="25" t="n">
        <f aca="false">IF(($B$8+C22)&gt;0,$B$12*$B$8/($B$8+C22),0)</f>
        <v>0.0429184549356223</v>
      </c>
    </row>
    <row r="23" customFormat="false" ht="15" hidden="false" customHeight="false" outlineLevel="0" collapsed="false">
      <c r="A23" s="18" t="n">
        <v>2.5</v>
      </c>
      <c r="B23" s="34" t="str">
        <f aca="false">IF(AND(A23&gt;=Inputs!$B$19,A23&lt;=Inputs!$B$20),"Yes","No")</f>
        <v>No</v>
      </c>
      <c r="C23" s="19" t="n">
        <f aca="false">IF(A23&gt;0,$B$7/A23,0)</f>
        <v>132</v>
      </c>
      <c r="D23" s="33" t="n">
        <f aca="false">IF(C23&gt;0,$B$8/C23,0)</f>
        <v>7.57575757575758</v>
      </c>
      <c r="E23" s="34" t="str">
        <f aca="false">IF(C23&gt;0,"1 for "&amp;TEXT(D23,"0.00"),"No issue")</f>
        <v>1 for 7.58</v>
      </c>
      <c r="F23" s="37" t="n">
        <f aca="false">IF(C23&gt;0,(D23*$B$9+A23)/(D23+1),$B$9)</f>
        <v>3.38339222614841</v>
      </c>
      <c r="G23" s="37" t="n">
        <f aca="false">$B$9-A23</f>
        <v>1</v>
      </c>
      <c r="H23" s="37" t="n">
        <f aca="false">F23-A23</f>
        <v>0.88339222614841</v>
      </c>
      <c r="I23" s="34" t="str">
        <f aca="false">IF(G23&gt;$B$11,"YES","NO")</f>
        <v>NO</v>
      </c>
      <c r="J23" s="34" t="str">
        <f aca="false">IF(H23&gt;$B$11,"YES","NO")</f>
        <v>NO</v>
      </c>
      <c r="K23" s="37" t="n">
        <f aca="false">IF(($B$8+C23)&gt;0,($B$10+$B$6)/($B$8+C23),0)</f>
        <v>1.78886925795053</v>
      </c>
      <c r="L23" s="25" t="n">
        <f aca="false">IF(($B$8+C23)&gt;0,$B$12*$B$8/($B$8+C23),0)</f>
        <v>0.0441696113074205</v>
      </c>
    </row>
    <row r="24" customFormat="false" ht="15" hidden="false" customHeight="false" outlineLevel="0" collapsed="false">
      <c r="A24" s="18" t="n">
        <v>3</v>
      </c>
      <c r="B24" s="34" t="str">
        <f aca="false">IF(AND(A24&gt;=Inputs!$B$19,A24&lt;=Inputs!$B$20),"Yes","No")</f>
        <v>No</v>
      </c>
      <c r="C24" s="19" t="n">
        <f aca="false">IF(A24&gt;0,$B$7/A24,0)</f>
        <v>110</v>
      </c>
      <c r="D24" s="33" t="n">
        <f aca="false">IF(C24&gt;0,$B$8/C24,0)</f>
        <v>9.09090909090909</v>
      </c>
      <c r="E24" s="34" t="str">
        <f aca="false">IF(C24&gt;0,"1 for "&amp;TEXT(D24,"0.00"),"No issue")</f>
        <v>1 for 9.09</v>
      </c>
      <c r="F24" s="37" t="n">
        <f aca="false">IF(C24&gt;0,(D24*$B$9+A24)/(D24+1),$B$9)</f>
        <v>3.45045045045045</v>
      </c>
      <c r="G24" s="37" t="n">
        <f aca="false">$B$9-A24</f>
        <v>0.5</v>
      </c>
      <c r="H24" s="37" t="n">
        <f aca="false">F24-A24</f>
        <v>0.45045045045045</v>
      </c>
      <c r="I24" s="34" t="str">
        <f aca="false">IF(G24&gt;$B$11,"YES","NO")</f>
        <v>NO</v>
      </c>
      <c r="J24" s="34" t="str">
        <f aca="false">IF(H24&gt;$B$11,"YES","NO")</f>
        <v>NO</v>
      </c>
      <c r="K24" s="37" t="n">
        <f aca="false">IF(($B$8+C24)&gt;0,($B$10+$B$6)/($B$8+C24),0)</f>
        <v>1.82432432432432</v>
      </c>
      <c r="L24" s="25" t="n">
        <f aca="false">IF(($B$8+C24)&gt;0,$B$12*$B$8/($B$8+C24),0)</f>
        <v>0.045045045045045</v>
      </c>
    </row>
    <row r="26" customFormat="false" ht="22.35" hidden="false" customHeight="false" outlineLevel="0" collapsed="false">
      <c r="A26" s="17" t="s">
        <v>469</v>
      </c>
    </row>
  </sheetData>
  <conditionalFormatting sqref="B15:L30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0">
      <formula>"CHECK"</formula>
    </cfRule>
    <cfRule type="cellIs" priority="4" operator="equal" aboveAverage="0" equalAverage="0" bottom="0" percent="0" rank="0" text="" dxfId="0">
      <formula>"DIFFERS"</formula>
    </cfRule>
    <cfRule type="cellIs" priority="5" operator="equal" aboveAverage="0" equalAverage="0" bottom="0" percent="0" rank="0" text="" dxfId="0">
      <formula>"No"</formula>
    </cfRule>
    <cfRule type="cellIs" priority="6" operator="equal" aboveAverage="0" equalAverage="0" bottom="0" percent="0" rank="0" text="" dxfId="1">
      <formula>"YES"</formula>
    </cfRule>
    <cfRule type="cellIs" priority="7" operator="equal" aboveAverage="0" equalAverage="0" bottom="0" percent="0" rank="0" text="" dxfId="1">
      <formula>"OK"</formula>
    </cfRule>
    <cfRule type="cellIs" priority="8" operator="equal" aboveAverage="0" equalAverage="0" bottom="0" percent="0" rank="0" text="" dxfId="1">
      <formula>"Matches slide"</formula>
    </cfRule>
    <cfRule type="cellIs" priority="9" operator="equal" aboveAverage="0" equalAverage="0" bottom="0" percent="0" rank="0" text="" dxfId="1">
      <formula>"Yes"</formula>
    </cfRule>
  </conditionalFormatting>
  <dataValidations count="1">
    <dataValidation allowBlank="false" errorStyle="stop" operator="between" showDropDown="false" showErrorMessage="fals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1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12" t="s">
        <v>207</v>
      </c>
      <c r="B4" s="13" t="s">
        <v>472</v>
      </c>
      <c r="C4" s="13" t="s">
        <v>473</v>
      </c>
      <c r="D4" s="13" t="s">
        <v>474</v>
      </c>
      <c r="E4" s="13" t="s">
        <v>475</v>
      </c>
    </row>
    <row r="5" customFormat="false" ht="15" hidden="false" customHeight="false" outlineLevel="0" collapsed="false">
      <c r="A5" s="14" t="s">
        <v>476</v>
      </c>
      <c r="B5" s="4"/>
      <c r="C5" s="4"/>
      <c r="D5" s="4"/>
      <c r="E5" s="4"/>
    </row>
    <row r="6" customFormat="false" ht="15" hidden="false" customHeight="false" outlineLevel="0" collapsed="false">
      <c r="A6" s="8" t="s">
        <v>477</v>
      </c>
      <c r="B6" s="51" t="n">
        <v>500000</v>
      </c>
      <c r="E6" s="17" t="s">
        <v>478</v>
      </c>
    </row>
    <row r="7" customFormat="false" ht="15" hidden="false" customHeight="false" outlineLevel="0" collapsed="false">
      <c r="A7" s="8" t="s">
        <v>479</v>
      </c>
      <c r="B7" s="18" t="n">
        <v>1</v>
      </c>
      <c r="E7" s="17" t="s">
        <v>480</v>
      </c>
    </row>
    <row r="8" customFormat="false" ht="15" hidden="false" customHeight="false" outlineLevel="0" collapsed="false">
      <c r="A8" s="8" t="s">
        <v>481</v>
      </c>
      <c r="B8" s="18" t="n">
        <v>2.5</v>
      </c>
      <c r="E8" s="17" t="s">
        <v>480</v>
      </c>
    </row>
    <row r="9" customFormat="false" ht="15" hidden="false" customHeight="false" outlineLevel="0" collapsed="false">
      <c r="A9" s="8" t="s">
        <v>458</v>
      </c>
      <c r="B9" s="18" t="n">
        <v>2</v>
      </c>
      <c r="E9" s="17" t="s">
        <v>480</v>
      </c>
    </row>
    <row r="10" customFormat="false" ht="15" hidden="false" customHeight="false" outlineLevel="0" collapsed="false">
      <c r="A10" s="8" t="s">
        <v>482</v>
      </c>
      <c r="B10" s="51" t="n">
        <v>5</v>
      </c>
      <c r="E10" s="17" t="s">
        <v>483</v>
      </c>
    </row>
    <row r="11" customFormat="false" ht="15" hidden="false" customHeight="false" outlineLevel="0" collapsed="false">
      <c r="A11" s="8" t="s">
        <v>484</v>
      </c>
      <c r="B11" s="52" t="n">
        <v>750000</v>
      </c>
      <c r="E11" s="17" t="s">
        <v>478</v>
      </c>
    </row>
    <row r="12" customFormat="false" ht="15" hidden="false" customHeight="false" outlineLevel="0" collapsed="false">
      <c r="A12" s="8" t="s">
        <v>485</v>
      </c>
      <c r="B12" s="52" t="n">
        <v>100000</v>
      </c>
      <c r="E12" s="17" t="s">
        <v>478</v>
      </c>
    </row>
    <row r="13" customFormat="false" ht="15" hidden="false" customHeight="false" outlineLevel="0" collapsed="false">
      <c r="A13" s="8" t="s">
        <v>486</v>
      </c>
      <c r="B13" s="52" t="n">
        <v>50000</v>
      </c>
      <c r="E13" s="17" t="s">
        <v>478</v>
      </c>
    </row>
    <row r="14" customFormat="false" ht="15" hidden="false" customHeight="false" outlineLevel="0" collapsed="false">
      <c r="A14" s="8" t="s">
        <v>487</v>
      </c>
      <c r="B14" s="52" t="n">
        <v>100000</v>
      </c>
      <c r="E14" s="17" t="s">
        <v>478</v>
      </c>
    </row>
    <row r="15" customFormat="false" ht="15" hidden="false" customHeight="false" outlineLevel="0" collapsed="false">
      <c r="A15" s="8" t="s">
        <v>488</v>
      </c>
      <c r="B15" s="52" t="n">
        <v>200000</v>
      </c>
      <c r="E15" s="17" t="s">
        <v>478</v>
      </c>
    </row>
    <row r="16" customFormat="false" ht="15" hidden="false" customHeight="false" outlineLevel="0" collapsed="false">
      <c r="A16" s="8" t="s">
        <v>489</v>
      </c>
      <c r="B16" s="24" t="n">
        <v>0.05</v>
      </c>
      <c r="E16" s="17" t="s">
        <v>490</v>
      </c>
    </row>
    <row r="17" customFormat="false" ht="15" hidden="false" customHeight="false" outlineLevel="0" collapsed="false">
      <c r="A17" s="14" t="s">
        <v>491</v>
      </c>
      <c r="B17" s="4"/>
      <c r="C17" s="4"/>
      <c r="D17" s="4"/>
      <c r="E17" s="4"/>
    </row>
    <row r="18" customFormat="false" ht="15" hidden="false" customHeight="false" outlineLevel="0" collapsed="false">
      <c r="A18" s="8" t="s">
        <v>492</v>
      </c>
      <c r="B18" s="53" t="n">
        <f aca="false">B6/B10</f>
        <v>100000</v>
      </c>
      <c r="C18" s="51" t="n">
        <v>100000</v>
      </c>
      <c r="D18" s="36" t="str">
        <f aca="false">IF(C18="","Formula only",IF(ABS(B18-C18)&lt;0.001,"Matches slide","DIFFERS"))</f>
        <v>Matches slide</v>
      </c>
      <c r="E18" s="17" t="s">
        <v>480</v>
      </c>
    </row>
    <row r="19" customFormat="false" ht="15" hidden="false" customHeight="false" outlineLevel="0" collapsed="false">
      <c r="A19" s="8" t="s">
        <v>493</v>
      </c>
      <c r="B19" s="53" t="n">
        <f aca="false">B6+B18</f>
        <v>600000</v>
      </c>
      <c r="C19" s="51" t="n">
        <v>600000</v>
      </c>
      <c r="D19" s="36" t="str">
        <f aca="false">IF(C19="","Formula only",IF(ABS(B19-C19)&lt;0.001,"Matches slide","DIFFERS"))</f>
        <v>Matches slide</v>
      </c>
      <c r="E19" s="17" t="s">
        <v>480</v>
      </c>
    </row>
    <row r="20" customFormat="false" ht="15" hidden="false" customHeight="false" outlineLevel="0" collapsed="false">
      <c r="A20" s="8" t="s">
        <v>494</v>
      </c>
      <c r="B20" s="37" t="n">
        <f aca="false">B8-B9</f>
        <v>0.5</v>
      </c>
      <c r="C20" s="18" t="n">
        <v>0.5</v>
      </c>
      <c r="D20" s="36" t="str">
        <f aca="false">IF(C20="","Formula only",IF(ABS(B20-C20)&lt;0.001,"Matches slide","DIFFERS"))</f>
        <v>Matches slide</v>
      </c>
      <c r="E20" s="17" t="s">
        <v>480</v>
      </c>
    </row>
    <row r="21" customFormat="false" ht="15" hidden="false" customHeight="false" outlineLevel="0" collapsed="false">
      <c r="A21" s="8" t="s">
        <v>495</v>
      </c>
      <c r="B21" s="54" t="n">
        <f aca="false">B18*B9</f>
        <v>200000</v>
      </c>
      <c r="C21" s="52" t="n">
        <v>200000</v>
      </c>
      <c r="D21" s="36" t="str">
        <f aca="false">IF(C21="","Formula only",IF(ABS(B21-C21)&lt;0.001,"Matches slide","DIFFERS"))</f>
        <v>Matches slide</v>
      </c>
      <c r="E21" s="17" t="s">
        <v>480</v>
      </c>
    </row>
    <row r="22" customFormat="false" ht="15" hidden="false" customHeight="false" outlineLevel="0" collapsed="false">
      <c r="A22" s="8" t="s">
        <v>496</v>
      </c>
      <c r="B22" s="54" t="n">
        <f aca="false">B18*B7</f>
        <v>100000</v>
      </c>
      <c r="C22" s="52" t="n">
        <v>100000</v>
      </c>
      <c r="D22" s="36" t="str">
        <f aca="false">IF(C22="","Formula only",IF(ABS(B22-C22)&lt;0.001,"Matches slide","DIFFERS"))</f>
        <v>Matches slide</v>
      </c>
      <c r="E22" s="17" t="s">
        <v>497</v>
      </c>
    </row>
    <row r="23" customFormat="false" ht="15" hidden="false" customHeight="false" outlineLevel="0" collapsed="false">
      <c r="A23" s="8" t="s">
        <v>498</v>
      </c>
      <c r="B23" s="54" t="n">
        <f aca="false">B18*(B9-B7)</f>
        <v>100000</v>
      </c>
      <c r="C23" s="52" t="n">
        <v>100000</v>
      </c>
      <c r="D23" s="36" t="str">
        <f aca="false">IF(C23="","Formula only",IF(ABS(B23-C23)&lt;0.001,"Matches slide","DIFFERS"))</f>
        <v>Matches slide</v>
      </c>
      <c r="E23" s="17" t="s">
        <v>480</v>
      </c>
    </row>
    <row r="24" customFormat="false" ht="15" hidden="false" customHeight="false" outlineLevel="0" collapsed="false">
      <c r="A24" s="8" t="s">
        <v>499</v>
      </c>
      <c r="B24" s="54" t="n">
        <f aca="false">B11+B12-B13-B14</f>
        <v>700000</v>
      </c>
      <c r="C24" s="52" t="n">
        <v>700000</v>
      </c>
      <c r="D24" s="36" t="str">
        <f aca="false">IF(C24="","Formula only",IF(ABS(B24-C24)&lt;0.001,"Matches slide","DIFFERS"))</f>
        <v>Matches slide</v>
      </c>
      <c r="E24" s="17" t="s">
        <v>478</v>
      </c>
    </row>
    <row r="25" customFormat="false" ht="15" hidden="false" customHeight="false" outlineLevel="0" collapsed="false">
      <c r="A25" s="8" t="s">
        <v>500</v>
      </c>
      <c r="B25" s="54" t="n">
        <f aca="false">B6*B7+B15</f>
        <v>700000</v>
      </c>
      <c r="C25" s="52" t="n">
        <v>700000</v>
      </c>
      <c r="D25" s="36" t="str">
        <f aca="false">IF(C25="","Formula only",IF(ABS(B25-C25)&lt;0.001,"Matches slide","DIFFERS"))</f>
        <v>Matches slide</v>
      </c>
      <c r="E25" s="17" t="s">
        <v>501</v>
      </c>
    </row>
    <row r="26" customFormat="false" ht="15" hidden="false" customHeight="false" outlineLevel="0" collapsed="false">
      <c r="A26" s="8" t="s">
        <v>502</v>
      </c>
      <c r="B26" s="37" t="n">
        <f aca="false">B25/B6</f>
        <v>1.4</v>
      </c>
      <c r="C26" s="18" t="n">
        <v>1.4</v>
      </c>
      <c r="D26" s="36" t="str">
        <f aca="false">IF(C26="","Formula only",IF(ABS(B26-C26)&lt;0.001,"Matches slide","DIFFERS"))</f>
        <v>Matches slide</v>
      </c>
      <c r="E26" s="17" t="s">
        <v>478</v>
      </c>
    </row>
    <row r="27" customFormat="false" ht="15" hidden="false" customHeight="false" outlineLevel="0" collapsed="false">
      <c r="A27" s="8" t="s">
        <v>503</v>
      </c>
      <c r="B27" s="54" t="n">
        <f aca="false">B24+B21</f>
        <v>900000</v>
      </c>
      <c r="C27" s="52" t="n">
        <v>900000</v>
      </c>
      <c r="D27" s="36" t="str">
        <f aca="false">IF(C27="","Formula only",IF(ABS(B27-C27)&lt;0.001,"Matches slide","DIFFERS"))</f>
        <v>Matches slide</v>
      </c>
      <c r="E27" s="17" t="s">
        <v>497</v>
      </c>
    </row>
    <row r="28" customFormat="false" ht="15" hidden="false" customHeight="false" outlineLevel="0" collapsed="false">
      <c r="A28" s="8" t="s">
        <v>504</v>
      </c>
      <c r="B28" s="54" t="n">
        <f aca="false">B6*B7+B22+B23+B15</f>
        <v>900000</v>
      </c>
      <c r="C28" s="52" t="n">
        <v>900000</v>
      </c>
      <c r="D28" s="36" t="str">
        <f aca="false">IF(C28="","Formula only",IF(ABS(B28-C28)&lt;0.001,"Matches slide","DIFFERS"))</f>
        <v>Matches slide</v>
      </c>
      <c r="E28" s="17" t="s">
        <v>497</v>
      </c>
    </row>
    <row r="29" customFormat="false" ht="15" hidden="false" customHeight="false" outlineLevel="0" collapsed="false">
      <c r="A29" s="8" t="s">
        <v>467</v>
      </c>
      <c r="B29" s="37" t="n">
        <f aca="false">B28/B19</f>
        <v>1.5</v>
      </c>
      <c r="C29" s="18" t="n">
        <v>1.5</v>
      </c>
      <c r="D29" s="36" t="str">
        <f aca="false">IF(C29="","Formula only",IF(ABS(B29-C29)&lt;0.001,"Matches slide","DIFFERS"))</f>
        <v>Matches slide</v>
      </c>
      <c r="E29" s="17" t="s">
        <v>497</v>
      </c>
    </row>
    <row r="30" customFormat="false" ht="15" hidden="false" customHeight="false" outlineLevel="0" collapsed="false">
      <c r="A30" s="8" t="s">
        <v>505</v>
      </c>
      <c r="B30" s="37" t="n">
        <f aca="false">(B10*B8+B9)/(B10+1)</f>
        <v>2.41666666666667</v>
      </c>
      <c r="D30" s="36" t="str">
        <f aca="false">IF(C30="","Formula only",IF(ABS(B30-C30)&lt;0.001,"Matches slide","DIFFERS"))</f>
        <v>Formula only</v>
      </c>
      <c r="E30" s="17" t="s">
        <v>506</v>
      </c>
    </row>
    <row r="31" customFormat="false" ht="15" hidden="false" customHeight="false" outlineLevel="0" collapsed="false">
      <c r="A31" s="14" t="s">
        <v>415</v>
      </c>
      <c r="B31" s="4"/>
      <c r="C31" s="4"/>
      <c r="D31" s="4"/>
      <c r="E31" s="4"/>
    </row>
    <row r="32" customFormat="false" ht="15" hidden="false" customHeight="false" outlineLevel="0" collapsed="false">
      <c r="A32" s="8" t="s">
        <v>507</v>
      </c>
      <c r="B32" s="53" t="n">
        <f aca="false">B6*B16</f>
        <v>25000</v>
      </c>
      <c r="C32" s="51" t="n">
        <v>25000</v>
      </c>
      <c r="D32" s="36" t="str">
        <f aca="false">IF(C32="","Formula only",IF(ABS(B32-C32)&lt;0.001,"Matches slide","DIFFERS"))</f>
        <v>Matches slide</v>
      </c>
      <c r="E32" s="17" t="s">
        <v>490</v>
      </c>
    </row>
    <row r="33" customFormat="false" ht="15" hidden="false" customHeight="false" outlineLevel="0" collapsed="false">
      <c r="A33" s="8" t="s">
        <v>508</v>
      </c>
      <c r="B33" s="53" t="n">
        <f aca="false">B32/B10</f>
        <v>5000</v>
      </c>
      <c r="C33" s="51" t="n">
        <v>5000</v>
      </c>
      <c r="D33" s="36" t="str">
        <f aca="false">IF(C33="","Formula only",IF(ABS(B33-C33)&lt;0.001,"Matches slide","DIFFERS"))</f>
        <v>Matches slide</v>
      </c>
      <c r="E33" s="17" t="s">
        <v>490</v>
      </c>
    </row>
    <row r="34" customFormat="false" ht="15" hidden="false" customHeight="false" outlineLevel="0" collapsed="false">
      <c r="A34" s="8" t="s">
        <v>509</v>
      </c>
      <c r="B34" s="54" t="n">
        <f aca="false">B33*B9</f>
        <v>10000</v>
      </c>
      <c r="C34" s="52" t="n">
        <v>10000</v>
      </c>
      <c r="D34" s="36" t="str">
        <f aca="false">IF(C34="","Formula only",IF(ABS(B34-C34)&lt;0.001,"Matches slide","DIFFERS"))</f>
        <v>Matches slide</v>
      </c>
      <c r="E34" s="17" t="s">
        <v>510</v>
      </c>
    </row>
    <row r="35" customFormat="false" ht="15" hidden="false" customHeight="false" outlineLevel="0" collapsed="false">
      <c r="A35" s="8" t="s">
        <v>511</v>
      </c>
      <c r="B35" s="54" t="n">
        <f aca="false">B32*B26</f>
        <v>35000</v>
      </c>
      <c r="C35" s="52" t="n">
        <v>35000</v>
      </c>
      <c r="D35" s="36" t="str">
        <f aca="false">IF(C35="","Formula only",IF(ABS(B35-C35)&lt;0.001,"Matches slide","DIFFERS"))</f>
        <v>Matches slide</v>
      </c>
      <c r="E35" s="17" t="s">
        <v>512</v>
      </c>
    </row>
    <row r="36" customFormat="false" ht="15" hidden="false" customHeight="false" outlineLevel="0" collapsed="false">
      <c r="A36" s="8" t="s">
        <v>513</v>
      </c>
      <c r="B36" s="54" t="n">
        <f aca="false">(B32+B33)*B29</f>
        <v>45000</v>
      </c>
      <c r="C36" s="52" t="n">
        <v>45000</v>
      </c>
      <c r="D36" s="36" t="str">
        <f aca="false">IF(C36="","Formula only",IF(ABS(B36-C36)&lt;0.001,"Matches slide","DIFFERS"))</f>
        <v>Matches slide</v>
      </c>
      <c r="E36" s="17" t="s">
        <v>512</v>
      </c>
    </row>
    <row r="37" customFormat="false" ht="15" hidden="false" customHeight="false" outlineLevel="0" collapsed="false">
      <c r="A37" s="8" t="s">
        <v>468</v>
      </c>
      <c r="B37" s="25" t="n">
        <f aca="false">B32/B19</f>
        <v>0.0416666666666667</v>
      </c>
      <c r="C37" s="24" t="n">
        <v>0.0416</v>
      </c>
      <c r="D37" s="36" t="str">
        <f aca="false">IF(C37="","Formula only",IF(ABS(B37-C37)&lt;0.001,"Matches slide","DIFFERS"))</f>
        <v>Matches slide</v>
      </c>
      <c r="E37" s="17" t="s">
        <v>514</v>
      </c>
    </row>
  </sheetData>
  <conditionalFormatting sqref="D5:D60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0">
      <formula>"CHECK"</formula>
    </cfRule>
    <cfRule type="cellIs" priority="4" operator="equal" aboveAverage="0" equalAverage="0" bottom="0" percent="0" rank="0" text="" dxfId="0">
      <formula>"DIFFERS"</formula>
    </cfRule>
    <cfRule type="cellIs" priority="5" operator="equal" aboveAverage="0" equalAverage="0" bottom="0" percent="0" rank="0" text="" dxfId="0">
      <formula>"No"</formula>
    </cfRule>
    <cfRule type="cellIs" priority="6" operator="equal" aboveAverage="0" equalAverage="0" bottom="0" percent="0" rank="0" text="" dxfId="1">
      <formula>"YES"</formula>
    </cfRule>
    <cfRule type="cellIs" priority="7" operator="equal" aboveAverage="0" equalAverage="0" bottom="0" percent="0" rank="0" text="" dxfId="1">
      <formula>"OK"</formula>
    </cfRule>
    <cfRule type="cellIs" priority="8" operator="equal" aboveAverage="0" equalAverage="0" bottom="0" percent="0" rank="0" text="" dxfId="1">
      <formula>"Matches slide"</formula>
    </cfRule>
    <cfRule type="cellIs" priority="9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2026-10-09T14:17:39Z</dcterms:created>
  <dc:creator>openpyxl</dc:creator>
  <dc:description/>
  <dc:language>en-US</dc:language>
  <cp:lastModifiedBy/>
  <dcterms:modified xsi:type="dcterms:W3CDTF">2026-10-09T14:17:44Z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