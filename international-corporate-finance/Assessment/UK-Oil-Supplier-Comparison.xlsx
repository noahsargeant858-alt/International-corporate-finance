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ier 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<sst xmlns="http://schemas.openxmlformats.org/spreadsheetml/2006/main" count="101" uniqueCount="87">
  <si>
    <t xml:space="preserve">UK Oil Plc — Activity I: which material supplier is cheapest?</t>
  </si>
  <si>
    <t xml:space="preserve">100,000 tons a year of emulsifiers &amp; corrosion inhibitors · Year-1 cost in £ · Blue = from the brief · Yellow = check / change me</t>
  </si>
  <si>
    <t xml:space="preserve">1. Shared inputs</t>
  </si>
  <si>
    <t xml:space="preserve">Input</t>
  </si>
  <si>
    <t xml:space="preserve">Value</t>
  </si>
  <si>
    <t xml:space="preserve">Source / note</t>
  </si>
  <si>
    <t xml:space="preserve">Material needed per year (tons)</t>
  </si>
  <si>
    <t xml:space="preserve">Brief, Activity I: '100,000 tons of material would be required each year'.</t>
  </si>
  <si>
    <t xml:space="preserve">Exchange rate: £1 = US$</t>
  </si>
  <si>
    <t xml:space="preserve">12 Oct 2026: 1.3235 (Trading Economics / FXStreet). Check on the Bank of England database before you submit.</t>
  </si>
  <si>
    <t xml:space="preserve">Exchange rate: £1 = €</t>
  </si>
  <si>
    <t xml:space="preserve">LATEST FOUND: about 1.17 (July 2026). REPLACE with today's rate from the Bank of England, because it can change the ranking.</t>
  </si>
  <si>
    <t xml:space="preserve">Exchange rate: £1 = Russian roubles</t>
  </si>
  <si>
    <t xml:space="preserve">12 Oct 2026 interbank: 112.75 (Eurochange). Bank of Russia official rate 113.32 on 7 Oct.</t>
  </si>
  <si>
    <t xml:space="preserve">Freight / shipping cost per year (£)</t>
  </si>
  <si>
    <t xml:space="preserve">Brief: 'Freight/Shipping Costs: £5,000,000 p.a.'</t>
  </si>
  <si>
    <t xml:space="preserve">Insurance premium (% of the C&amp;F value)</t>
  </si>
  <si>
    <t xml:space="preserve">Brief: 'Insurance Premium: 3% based on the C &amp; F value'.</t>
  </si>
  <si>
    <t xml:space="preserve">Interest rate saved by paying later</t>
  </si>
  <si>
    <t xml:space="preserve">Bank Rate 3.75% + the brief's 2% loan margin. Used in section 3 only.</t>
  </si>
  <si>
    <t xml:space="preserve">2. Year-1 landed cost in £</t>
  </si>
  <si>
    <t xml:space="preserve">Item</t>
  </si>
  <si>
    <t xml:space="preserve">Russia</t>
  </si>
  <si>
    <t xml:space="preserve">USA</t>
  </si>
  <si>
    <t xml:space="preserve">Netherlands</t>
  </si>
  <si>
    <t xml:space="preserve">Why</t>
  </si>
  <si>
    <t xml:space="preserve">Quoted price per ton</t>
  </si>
  <si>
    <t xml:space="preserve">Brief, Activity I.</t>
  </si>
  <si>
    <t xml:space="preserve">Currency</t>
  </si>
  <si>
    <t xml:space="preserve">Roubles</t>
  </si>
  <si>
    <t xml:space="preserve">US$</t>
  </si>
  <si>
    <t xml:space="preserve">Euro</t>
  </si>
  <si>
    <t xml:space="preserve">Incoterm</t>
  </si>
  <si>
    <t xml:space="preserve">CFR Ust Luga</t>
  </si>
  <si>
    <t xml:space="preserve">CFR Dover</t>
  </si>
  <si>
    <t xml:space="preserve">CIF Dover</t>
  </si>
  <si>
    <t xml:space="preserve">Ust Luga is a RUSSIAN port, so Russia's price only covers getting the goods to its own port. Dover is in the UK.</t>
  </si>
  <si>
    <t xml:space="preserve">Payment terms</t>
  </si>
  <si>
    <t xml:space="preserve">Open account — pay 2 months after shipment</t>
  </si>
  <si>
    <t xml:space="preserve">D/A bill of exchange — pay 1 month after</t>
  </si>
  <si>
    <t xml:space="preserve">Confirmed irrevocable letter of credit — pay 3 months after</t>
  </si>
  <si>
    <t xml:space="preserve">Exchange rate used (per £1)</t>
  </si>
  <si>
    <t xml:space="preserve">Price per ton in £</t>
  </si>
  <si>
    <t xml:space="preserve">Quoted price ÷ exchange rate.</t>
  </si>
  <si>
    <t xml:space="preserve">Cost of 100,000 tons (£)</t>
  </si>
  <si>
    <t xml:space="preserve">This is the invoice value.</t>
  </si>
  <si>
    <t xml:space="preserve">Does UK Oil pay the £5M freight?</t>
  </si>
  <si>
    <t xml:space="preserve">Yes</t>
  </si>
  <si>
    <t xml:space="preserve">No</t>
  </si>
  <si>
    <t xml:space="preserve">Russia: Yes, because CFR Ust Luga stops at a Russian port. USA: No, because CFR Dover includes freight to the UK. Netherlands: No, because CIF includes freight. Change this if your tutor says otherwise.</t>
  </si>
  <si>
    <t xml:space="preserve">Add: freight (£)</t>
  </si>
  <si>
    <t xml:space="preserve">C&amp;F value: cost + freight (£)</t>
  </si>
  <si>
    <t xml:space="preserve">Does UK Oil pay the 3% insurance?</t>
  </si>
  <si>
    <t xml:space="preserve">CFR excludes insurance, so Russia and USA need it. CIF already includes it.</t>
  </si>
  <si>
    <t xml:space="preserve">Add: insurance at 3% of C&amp;F (£)</t>
  </si>
  <si>
    <t xml:space="preserve">Bank charges (% of invoice)</t>
  </si>
  <si>
    <t xml:space="preserve">USA: 0.25% collection charges. Netherlands: 0.75% documentary credit charges. Both paid by the buyer.</t>
  </si>
  <si>
    <t xml:space="preserve">Add: bank charges (£)</t>
  </si>
  <si>
    <t xml:space="preserve">TOTAL YEAR-1 COST (£)</t>
  </si>
  <si>
    <t xml:space="preserve">Total cost per ton (£)</t>
  </si>
  <si>
    <t xml:space="preserve">Rank (1 = cheapest)</t>
  </si>
  <si>
    <t xml:space="preserve">Extra cost vs the cheapest (£)</t>
  </si>
  <si>
    <t xml:space="preserve">Cheapest supplier on cost alone</t>
  </si>
  <si>
    <t xml:space="preserve">3. Paying later is worth something (payment terms)</t>
  </si>
  <si>
    <t xml:space="preserve">Months of credit after shipment</t>
  </si>
  <si>
    <t xml:space="preserve">Brief, payment terms.</t>
  </si>
  <si>
    <t xml:space="preserve">Interest saved by paying later (£)</t>
  </si>
  <si>
    <t xml:space="preserve">Total cost × interest rate × months ÷ 12. The money stays in UK Oil's account for longer.</t>
  </si>
  <si>
    <t xml:space="preserve">Cost after the credit benefit (£)</t>
  </si>
  <si>
    <t xml:space="preserve">Rank after the credit benefit</t>
  </si>
  <si>
    <t xml:space="preserve">Cheapest supplier after the credit benefit</t>
  </si>
  <si>
    <t xml:space="preserve">4. Not just price — what to weigh in the report</t>
  </si>
  <si>
    <t xml:space="preserve">Risk</t>
  </si>
  <si>
    <t xml:space="preserve">Political / legal</t>
  </si>
  <si>
    <t xml:space="preserve">HIGH — UK sanctions on Russia restrict trade and payments. Check this is even legal before recommending it.</t>
  </si>
  <si>
    <t xml:space="preserve">Low</t>
  </si>
  <si>
    <t xml:space="preserve">Low — EU neighbour, shortest route</t>
  </si>
  <si>
    <t xml:space="preserve">Payment method risk for UK Oil</t>
  </si>
  <si>
    <t xml:space="preserve">Open account: best for the buyer (pay after shipment), but no bank protection</t>
  </si>
  <si>
    <t xml:space="preserve">D/A: documents released when UK Oil accepts the bill</t>
  </si>
  <si>
    <t xml:space="preserve">Confirmed LC: most secure, but most paperwork and the highest bank charges</t>
  </si>
  <si>
    <t xml:space="preserve">Currency risk</t>
  </si>
  <si>
    <t xml:space="preserve">Rouble is very volatile</t>
  </si>
  <si>
    <t xml:space="preserve">US$ — oil revenue is also in $, a partial natural hedge</t>
  </si>
  <si>
    <t xml:space="preserve">Euro — fairly stable vs £</t>
  </si>
  <si>
    <t xml:space="preserve">Price increases</t>
  </si>
  <si>
    <t xml:space="preserve">Rises each year with that country's inflation (brief)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</si>
</sst>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00"/>
    <numFmt numFmtId="167" formatCode="\£#,##0;&quot;(£&quot;#,##0\);\-"/>
    <numFmt numFmtId="168" formatCode="0.00%;\(0.00%\);\-"/>
    <numFmt numFmtId="169" formatCode="\£#,##0.00;&quot;(£&quot;#,##0.00\);\-"/>
    <numFmt numFmtId="170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9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C6EFCE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24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</row>
    <row r="5" customFormat="false" ht="15" hidden="false" customHeight="false" outlineLevel="0" collapsed="false">
      <c r="A5" s="5" t="s">
        <v>3</v>
      </c>
      <c r="B5" s="6" t="s">
        <v>4</v>
      </c>
      <c r="C5" s="6"/>
      <c r="D5" s="6"/>
      <c r="E5" s="5" t="s">
        <v>5</v>
      </c>
    </row>
    <row r="6" customFormat="false" ht="15" hidden="false" customHeight="false" outlineLevel="0" collapsed="false">
      <c r="A6" s="7" t="s">
        <v>6</v>
      </c>
      <c r="B6" s="8" t="n">
        <v>100000</v>
      </c>
      <c r="E6" s="9" t="s">
        <v>7</v>
      </c>
    </row>
    <row r="7" customFormat="false" ht="22.35" hidden="false" customHeight="false" outlineLevel="0" collapsed="false">
      <c r="A7" s="7" t="s">
        <v>8</v>
      </c>
      <c r="B7" s="10" t="n">
        <v>1.3235</v>
      </c>
      <c r="E7" s="9" t="s">
        <v>9</v>
      </c>
    </row>
    <row r="8" customFormat="false" ht="22.35" hidden="false" customHeight="false" outlineLevel="0" collapsed="false">
      <c r="A8" s="7" t="s">
        <v>10</v>
      </c>
      <c r="B8" s="10" t="n">
        <v>1.17</v>
      </c>
      <c r="E8" s="9" t="s">
        <v>11</v>
      </c>
    </row>
    <row r="9" customFormat="false" ht="15" hidden="false" customHeight="false" outlineLevel="0" collapsed="false">
      <c r="A9" s="7" t="s">
        <v>12</v>
      </c>
      <c r="B9" s="10" t="n">
        <v>112.75</v>
      </c>
      <c r="E9" s="9" t="s">
        <v>13</v>
      </c>
    </row>
    <row r="10" customFormat="false" ht="15" hidden="false" customHeight="false" outlineLevel="0" collapsed="false">
      <c r="A10" s="7" t="s">
        <v>14</v>
      </c>
      <c r="B10" s="11" t="n">
        <v>5000000</v>
      </c>
      <c r="E10" s="9" t="s">
        <v>15</v>
      </c>
    </row>
    <row r="11" customFormat="false" ht="15" hidden="false" customHeight="false" outlineLevel="0" collapsed="false">
      <c r="A11" s="7" t="s">
        <v>16</v>
      </c>
      <c r="B11" s="12" t="n">
        <v>0.03</v>
      </c>
      <c r="E11" s="9" t="s">
        <v>17</v>
      </c>
    </row>
    <row r="12" customFormat="false" ht="15" hidden="false" customHeight="false" outlineLevel="0" collapsed="false">
      <c r="A12" s="7" t="s">
        <v>18</v>
      </c>
      <c r="B12" s="13" t="n">
        <v>0.0575</v>
      </c>
      <c r="E12" s="9" t="s">
        <v>19</v>
      </c>
    </row>
    <row r="14" customFormat="false" ht="15" hidden="false" customHeight="false" outlineLevel="0" collapsed="false">
      <c r="A14" s="3" t="s">
        <v>20</v>
      </c>
      <c r="B14" s="4"/>
      <c r="C14" s="4"/>
      <c r="D14" s="4"/>
      <c r="E14" s="4"/>
    </row>
    <row r="15" customFormat="false" ht="19.5" hidden="false" customHeight="true" outlineLevel="0" collapsed="false">
      <c r="A15" s="5" t="s">
        <v>21</v>
      </c>
      <c r="B15" s="6" t="s">
        <v>22</v>
      </c>
      <c r="C15" s="6" t="s">
        <v>23</v>
      </c>
      <c r="D15" s="6" t="s">
        <v>24</v>
      </c>
      <c r="E15" s="5" t="s">
        <v>25</v>
      </c>
    </row>
    <row r="16" customFormat="false" ht="15" hidden="false" customHeight="false" outlineLevel="0" collapsed="false">
      <c r="A16" s="7" t="s">
        <v>26</v>
      </c>
      <c r="B16" s="8" t="n">
        <v>30000</v>
      </c>
      <c r="C16" s="8" t="n">
        <v>430</v>
      </c>
      <c r="D16" s="8" t="n">
        <v>390</v>
      </c>
      <c r="E16" s="9" t="s">
        <v>27</v>
      </c>
    </row>
    <row r="17" customFormat="false" ht="15" hidden="false" customHeight="false" outlineLevel="0" collapsed="false">
      <c r="A17" s="7" t="s">
        <v>28</v>
      </c>
      <c r="B17" s="14" t="s">
        <v>29</v>
      </c>
      <c r="C17" s="14" t="s">
        <v>30</v>
      </c>
      <c r="D17" s="14" t="s">
        <v>31</v>
      </c>
    </row>
    <row r="18" customFormat="false" ht="22.35" hidden="false" customHeight="false" outlineLevel="0" collapsed="false">
      <c r="A18" s="7" t="s">
        <v>32</v>
      </c>
      <c r="B18" s="14" t="s">
        <v>33</v>
      </c>
      <c r="C18" s="14" t="s">
        <v>34</v>
      </c>
      <c r="D18" s="14" t="s">
        <v>35</v>
      </c>
      <c r="E18" s="9" t="s">
        <v>36</v>
      </c>
    </row>
    <row r="19" customFormat="false" ht="39.75" hidden="false" customHeight="true" outlineLevel="0" collapsed="false">
      <c r="A19" s="7" t="s">
        <v>37</v>
      </c>
      <c r="B19" s="14" t="s">
        <v>38</v>
      </c>
      <c r="C19" s="14" t="s">
        <v>39</v>
      </c>
      <c r="D19" s="14" t="s">
        <v>40</v>
      </c>
    </row>
    <row r="20" customFormat="false" ht="15" hidden="false" customHeight="false" outlineLevel="0" collapsed="false">
      <c r="A20" s="7" t="s">
        <v>41</v>
      </c>
      <c r="B20" s="15" t="n">
        <f aca="false">$B$9</f>
        <v>112.75</v>
      </c>
      <c r="C20" s="15" t="n">
        <f aca="false">$B$7</f>
        <v>1.3235</v>
      </c>
      <c r="D20" s="15" t="n">
        <f aca="false">$B$8</f>
        <v>1.17</v>
      </c>
    </row>
    <row r="21" customFormat="false" ht="15" hidden="false" customHeight="false" outlineLevel="0" collapsed="false">
      <c r="A21" s="7" t="s">
        <v>42</v>
      </c>
      <c r="B21" s="16" t="n">
        <f aca="false">B16/B20</f>
        <v>266.075388026608</v>
      </c>
      <c r="C21" s="16" t="n">
        <f aca="false">C16/C20</f>
        <v>324.896108802418</v>
      </c>
      <c r="D21" s="16" t="n">
        <f aca="false">D16/D20</f>
        <v>333.333333333333</v>
      </c>
      <c r="E21" s="9" t="s">
        <v>43</v>
      </c>
    </row>
    <row r="22" customFormat="false" ht="15" hidden="false" customHeight="false" outlineLevel="0" collapsed="false">
      <c r="A22" s="7" t="s">
        <v>44</v>
      </c>
      <c r="B22" s="17" t="n">
        <f aca="false">B21*$B$6</f>
        <v>26607538.8026608</v>
      </c>
      <c r="C22" s="17" t="n">
        <f aca="false">C21*$B$6</f>
        <v>32489610.8802418</v>
      </c>
      <c r="D22" s="17" t="n">
        <f aca="false">D21*$B$6</f>
        <v>33333333.3333333</v>
      </c>
      <c r="E22" s="9" t="s">
        <v>45</v>
      </c>
    </row>
    <row r="23" customFormat="false" ht="39.75" hidden="false" customHeight="true" outlineLevel="0" collapsed="false">
      <c r="A23" s="7" t="s">
        <v>46</v>
      </c>
      <c r="B23" s="18" t="s">
        <v>47</v>
      </c>
      <c r="C23" s="18" t="s">
        <v>48</v>
      </c>
      <c r="D23" s="18" t="s">
        <v>48</v>
      </c>
      <c r="E23" s="9" t="s">
        <v>49</v>
      </c>
    </row>
    <row r="24" customFormat="false" ht="15" hidden="false" customHeight="false" outlineLevel="0" collapsed="false">
      <c r="A24" s="7" t="s">
        <v>50</v>
      </c>
      <c r="B24" s="17" t="n">
        <f aca="false">IF(B23="Yes",$B$10,0)</f>
        <v>5000000</v>
      </c>
      <c r="C24" s="17" t="n">
        <f aca="false">IF(C23="Yes",$B$10,0)</f>
        <v>0</v>
      </c>
      <c r="D24" s="17" t="n">
        <f aca="false">IF(D23="Yes",$B$10,0)</f>
        <v>0</v>
      </c>
    </row>
    <row r="25" customFormat="false" ht="15" hidden="false" customHeight="false" outlineLevel="0" collapsed="false">
      <c r="A25" s="7" t="s">
        <v>51</v>
      </c>
      <c r="B25" s="17" t="n">
        <f aca="false">B22+B24</f>
        <v>31607538.8026608</v>
      </c>
      <c r="C25" s="17" t="n">
        <f aca="false">C22+C24</f>
        <v>32489610.8802418</v>
      </c>
      <c r="D25" s="17" t="n">
        <f aca="false">D22+D24</f>
        <v>33333333.3333333</v>
      </c>
    </row>
    <row r="26" customFormat="false" ht="15" hidden="false" customHeight="false" outlineLevel="0" collapsed="false">
      <c r="A26" s="7" t="s">
        <v>52</v>
      </c>
      <c r="B26" s="18" t="s">
        <v>47</v>
      </c>
      <c r="C26" s="18" t="s">
        <v>47</v>
      </c>
      <c r="D26" s="18" t="s">
        <v>48</v>
      </c>
      <c r="E26" s="9" t="s">
        <v>53</v>
      </c>
    </row>
    <row r="27" customFormat="false" ht="15" hidden="false" customHeight="false" outlineLevel="0" collapsed="false">
      <c r="A27" s="7" t="s">
        <v>54</v>
      </c>
      <c r="B27" s="17" t="n">
        <f aca="false">IF(B26="Yes",B25*$B$11,0)</f>
        <v>948226.164079823</v>
      </c>
      <c r="C27" s="17" t="n">
        <f aca="false">IF(C26="Yes",C25*$B$11,0)</f>
        <v>974688.326407254</v>
      </c>
      <c r="D27" s="17" t="n">
        <f aca="false">IF(D26="Yes",D25*$B$11,0)</f>
        <v>0</v>
      </c>
    </row>
    <row r="28" customFormat="false" ht="15" hidden="false" customHeight="false" outlineLevel="0" collapsed="false">
      <c r="A28" s="7" t="s">
        <v>55</v>
      </c>
      <c r="B28" s="12" t="n">
        <v>0</v>
      </c>
      <c r="C28" s="12" t="n">
        <v>0.0025</v>
      </c>
      <c r="D28" s="12" t="n">
        <v>0.0075</v>
      </c>
      <c r="E28" s="9" t="s">
        <v>56</v>
      </c>
    </row>
    <row r="29" customFormat="false" ht="15" hidden="false" customHeight="false" outlineLevel="0" collapsed="false">
      <c r="A29" s="7" t="s">
        <v>57</v>
      </c>
      <c r="B29" s="17" t="n">
        <f aca="false">B22*B28</f>
        <v>0</v>
      </c>
      <c r="C29" s="17" t="n">
        <f aca="false">C22*C28</f>
        <v>81224.0272006045</v>
      </c>
      <c r="D29" s="17" t="n">
        <f aca="false">D22*D28</f>
        <v>250000</v>
      </c>
    </row>
    <row r="30" customFormat="false" ht="15" hidden="false" customHeight="false" outlineLevel="0" collapsed="false">
      <c r="A30" s="19" t="s">
        <v>58</v>
      </c>
      <c r="B30" s="20" t="n">
        <f aca="false">B25+B27+B29</f>
        <v>32555764.9667406</v>
      </c>
      <c r="C30" s="20" t="n">
        <f aca="false">C25+C27+C29</f>
        <v>33545523.2338497</v>
      </c>
      <c r="D30" s="20" t="n">
        <f aca="false">D25+D27+D29</f>
        <v>33583333.3333333</v>
      </c>
    </row>
    <row r="31" customFormat="false" ht="15" hidden="false" customHeight="false" outlineLevel="0" collapsed="false">
      <c r="A31" s="7" t="s">
        <v>59</v>
      </c>
      <c r="B31" s="16" t="n">
        <f aca="false">B30/$B$6</f>
        <v>325.557649667406</v>
      </c>
      <c r="C31" s="16" t="n">
        <f aca="false">C30/$B$6</f>
        <v>335.455232338497</v>
      </c>
      <c r="D31" s="16" t="n">
        <f aca="false">D30/$B$6</f>
        <v>335.833333333333</v>
      </c>
    </row>
    <row r="32" customFormat="false" ht="15" hidden="false" customHeight="false" outlineLevel="0" collapsed="false">
      <c r="A32" s="19" t="s">
        <v>60</v>
      </c>
      <c r="B32" s="21" t="n">
        <f aca="false">RANK(B30,$B$30:$D$30,1)</f>
        <v>1</v>
      </c>
      <c r="C32" s="21" t="n">
        <f aca="false">RANK(C30,$B$30:$D$30,1)</f>
        <v>2</v>
      </c>
      <c r="D32" s="21" t="n">
        <f aca="false">RANK(D30,$B$30:$D$30,1)</f>
        <v>3</v>
      </c>
    </row>
    <row r="33" customFormat="false" ht="15" hidden="false" customHeight="false" outlineLevel="0" collapsed="false">
      <c r="A33" s="7" t="s">
        <v>61</v>
      </c>
      <c r="B33" s="17" t="n">
        <f aca="false">B30-MIN($B$30:$D$30)</f>
        <v>0</v>
      </c>
      <c r="C33" s="17" t="n">
        <f aca="false">C30-MIN($B$30:$D$30)</f>
        <v>989758.267109074</v>
      </c>
      <c r="D33" s="17" t="n">
        <f aca="false">D30-MIN($B$30:$D$30)</f>
        <v>1027568.36659276</v>
      </c>
    </row>
    <row r="34" customFormat="false" ht="15" hidden="false" customHeight="false" outlineLevel="0" collapsed="false">
      <c r="A34" s="19" t="s">
        <v>62</v>
      </c>
      <c r="B34" s="22" t="str">
        <f aca="false">INDEX($B$15:$D$15,1,MATCH(MIN($B$30:$D$30),$B$30:$D$30,0))</f>
        <v>Russia</v>
      </c>
    </row>
    <row r="36" customFormat="false" ht="15" hidden="false" customHeight="false" outlineLevel="0" collapsed="false">
      <c r="A36" s="3" t="s">
        <v>63</v>
      </c>
      <c r="B36" s="4"/>
      <c r="C36" s="4"/>
      <c r="D36" s="4"/>
      <c r="E36" s="4"/>
    </row>
    <row r="37" customFormat="false" ht="15" hidden="false" customHeight="false" outlineLevel="0" collapsed="false">
      <c r="A37" s="5" t="s">
        <v>21</v>
      </c>
      <c r="B37" s="6" t="s">
        <v>22</v>
      </c>
      <c r="C37" s="6" t="s">
        <v>23</v>
      </c>
      <c r="D37" s="6" t="s">
        <v>24</v>
      </c>
      <c r="E37" s="5" t="s">
        <v>25</v>
      </c>
    </row>
    <row r="38" customFormat="false" ht="15" hidden="false" customHeight="false" outlineLevel="0" collapsed="false">
      <c r="A38" s="7" t="s">
        <v>64</v>
      </c>
      <c r="B38" s="23" t="n">
        <v>2</v>
      </c>
      <c r="C38" s="23" t="n">
        <v>1</v>
      </c>
      <c r="D38" s="23" t="n">
        <v>3</v>
      </c>
      <c r="E38" s="9" t="s">
        <v>65</v>
      </c>
    </row>
    <row r="39" customFormat="false" ht="15" hidden="false" customHeight="false" outlineLevel="0" collapsed="false">
      <c r="A39" s="7" t="s">
        <v>66</v>
      </c>
      <c r="B39" s="17" t="n">
        <f aca="false">B30*$B$12*B38/12</f>
        <v>311992.747597931</v>
      </c>
      <c r="C39" s="17" t="n">
        <f aca="false">C30*$B$12*C38/12</f>
        <v>160738.96549553</v>
      </c>
      <c r="D39" s="17" t="n">
        <f aca="false">D30*$B$12*D38/12</f>
        <v>482760.416666667</v>
      </c>
      <c r="E39" s="9" t="s">
        <v>67</v>
      </c>
    </row>
    <row r="40" customFormat="false" ht="15" hidden="false" customHeight="false" outlineLevel="0" collapsed="false">
      <c r="A40" s="19" t="s">
        <v>68</v>
      </c>
      <c r="B40" s="20" t="n">
        <f aca="false">B30-B39</f>
        <v>32243772.2191426</v>
      </c>
      <c r="C40" s="20" t="n">
        <f aca="false">C30-C39</f>
        <v>33384784.2683541</v>
      </c>
      <c r="D40" s="20" t="n">
        <f aca="false">D30-D39</f>
        <v>33100572.9166667</v>
      </c>
    </row>
    <row r="41" customFormat="false" ht="15" hidden="false" customHeight="false" outlineLevel="0" collapsed="false">
      <c r="A41" s="19" t="s">
        <v>69</v>
      </c>
      <c r="B41" s="21" t="n">
        <f aca="false">RANK(B40,$B$40:$D$40,1)</f>
        <v>1</v>
      </c>
      <c r="C41" s="21" t="n">
        <f aca="false">RANK(C40,$B$40:$D$40,1)</f>
        <v>3</v>
      </c>
      <c r="D41" s="21" t="n">
        <f aca="false">RANK(D40,$B$40:$D$40,1)</f>
        <v>2</v>
      </c>
    </row>
    <row r="42" customFormat="false" ht="15" hidden="false" customHeight="false" outlineLevel="0" collapsed="false">
      <c r="A42" s="19" t="s">
        <v>70</v>
      </c>
      <c r="B42" s="22" t="str">
        <f aca="false">INDEX($B$15:$D$15,1,MATCH(MIN($B$40:$D$40),$B$40:$D$40,0))</f>
        <v>Russia</v>
      </c>
    </row>
    <row r="44" customFormat="false" ht="15" hidden="false" customHeight="false" outlineLevel="0" collapsed="false">
      <c r="A44" s="3" t="s">
        <v>71</v>
      </c>
      <c r="B44" s="4"/>
      <c r="C44" s="4"/>
      <c r="D44" s="4"/>
      <c r="E44" s="4"/>
    </row>
    <row r="45" customFormat="false" ht="15" hidden="false" customHeight="false" outlineLevel="0" collapsed="false">
      <c r="A45" s="5" t="s">
        <v>72</v>
      </c>
      <c r="B45" s="6" t="s">
        <v>22</v>
      </c>
      <c r="C45" s="6" t="s">
        <v>23</v>
      </c>
      <c r="D45" s="6" t="s">
        <v>24</v>
      </c>
      <c r="E45" s="5"/>
    </row>
    <row r="46" customFormat="false" ht="51.75" hidden="false" customHeight="true" outlineLevel="0" collapsed="false">
      <c r="A46" s="7" t="s">
        <v>73</v>
      </c>
      <c r="B46" s="24" t="s">
        <v>74</v>
      </c>
      <c r="C46" s="24" t="s">
        <v>75</v>
      </c>
      <c r="D46" s="24" t="s">
        <v>76</v>
      </c>
    </row>
    <row r="47" customFormat="false" ht="51.75" hidden="false" customHeight="true" outlineLevel="0" collapsed="false">
      <c r="A47" s="7" t="s">
        <v>77</v>
      </c>
      <c r="B47" s="24" t="s">
        <v>78</v>
      </c>
      <c r="C47" s="24" t="s">
        <v>79</v>
      </c>
      <c r="D47" s="24" t="s">
        <v>80</v>
      </c>
    </row>
    <row r="48" customFormat="false" ht="39.75" hidden="false" customHeight="true" outlineLevel="0" collapsed="false">
      <c r="A48" s="7" t="s">
        <v>81</v>
      </c>
      <c r="B48" s="24" t="s">
        <v>82</v>
      </c>
      <c r="C48" s="24" t="s">
        <v>83</v>
      </c>
      <c r="D48" s="24" t="s">
        <v>84</v>
      </c>
    </row>
    <row r="49" customFormat="false" ht="30" hidden="false" customHeight="true" outlineLevel="0" collapsed="false">
      <c r="A49" s="7" t="s">
        <v>85</v>
      </c>
      <c r="B49" s="24" t="s">
        <v>86</v>
      </c>
      <c r="C49" s="24" t="s">
        <v>86</v>
      </c>
      <c r="D49" s="24" t="s">
        <v>86</v>
      </c>
    </row>
  </sheetData>
  <conditionalFormatting sqref="B32:D32">
    <cfRule type="cellIs" priority="2" operator="equal" aboveAverage="0" equalAverage="0" bottom="0" percent="0" rank="0" text="" dxfId="0">
      <formula>1</formula>
    </cfRule>
  </conditionalFormatting>
  <conditionalFormatting sqref="B41:D41">
    <cfRule type="cellIs" priority="3" operator="equal" aboveAverage="0" equalAverage="0" bottom="0" percent="0" rank="0" text="" dxfId="0">
      <formula>1</formula>
    </cfRule>
  </conditionalFormatting>
  <conditionalFormatting sqref="B30:D30">
    <cfRule type="expression" priority="4" aboveAverage="0" equalAverage="0" bottom="0" percent="0" rank="0" text="" dxfId="1">
      <formula>B30=MIN($B$30:$D$30)</formula>
    </cfRule>
  </conditionalFormatting>
  <conditionalFormatting sqref="B40:D40">
    <cfRule type="expression" priority="5" aboveAverage="0" equalAverage="0" bottom="0" percent="0" rank="0" text="" dxfId="1">
      <formula>B40=MIN($B$40:$D$40)</formula>
    </cfRule>
  </conditionalFormatting>
  <dataValidations count="1">
    <dataValidation allowBlank="false" errorStyle="stop" operator="between" showDropDown="false" showErrorMessage="false" showInputMessage="false" sqref="B23:D23 B26:D2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2026-10-12T12:32:16Z</dcterms:created>
  <dc:creator>openpyxl</dc:creator>
  <dc:description/>
  <dc:language>en-US</dc:language>
  <cp:lastModifiedBy/>
  <dcterms:modified xsi:type="dcterms:W3CDTF">2026-10-12T12:32:16Z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